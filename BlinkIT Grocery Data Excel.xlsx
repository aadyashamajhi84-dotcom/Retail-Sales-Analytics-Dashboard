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adya\Downloads\"/>
    </mc:Choice>
  </mc:AlternateContent>
  <xr:revisionPtr revIDLastSave="0" documentId="13_ncr:1_{621507DE-8D64-4050-968E-D2BFAE4770AB}" xr6:coauthVersionLast="47" xr6:coauthVersionMax="47" xr10:uidLastSave="{00000000-0000-0000-0000-000000000000}"/>
  <bookViews>
    <workbookView xWindow="-110" yWindow="-110" windowWidth="19420" windowHeight="11500" activeTab="1" xr2:uid="{F8420BDF-C08E-4FBB-891B-F574F63AC6D0}"/>
  </bookViews>
  <sheets>
    <sheet name="Sheets Design" sheetId="4" r:id="rId1"/>
    <sheet name="Dashboard" sheetId="5" r:id="rId2"/>
    <sheet name="BlinkIT Grocery Data" sheetId="1" r:id="rId3"/>
  </sheets>
  <definedNames>
    <definedName name="_xlchart.v2.0" hidden="1">'Sheets Design'!$D$94:$D$96</definedName>
    <definedName name="_xlchart.v2.1" hidden="1">'Sheets Design'!$E$93</definedName>
    <definedName name="_xlchart.v2.2" hidden="1">'Sheets Design'!$E$94:$E$96</definedName>
    <definedName name="_xlchart.v2.3" hidden="1">'Sheets Design'!$D$94:$D$96</definedName>
    <definedName name="_xlchart.v2.4" hidden="1">'Sheets Design'!$E$93</definedName>
    <definedName name="_xlchart.v2.5" hidden="1">'Sheets Design'!$E$94:$E$96</definedName>
    <definedName name="_xlchart.v2.6" hidden="1">'Sheets Design'!$D$94:$D$96</definedName>
    <definedName name="_xlchart.v2.7" hidden="1">'Sheets Design'!$E$93</definedName>
    <definedName name="_xlchart.v2.8" hidden="1">'Sheets Design'!$E$94:$E$96</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5" i="4" l="1"/>
  <c r="D96" i="4"/>
  <c r="D94" i="4"/>
  <c r="E95" i="4"/>
  <c r="E96" i="4"/>
  <c r="E94" i="4"/>
  <c r="C7" i="4"/>
  <c r="D7" i="4"/>
  <c r="A7" i="4"/>
  <c r="B7" i="4"/>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<sst xmlns="http://schemas.openxmlformats.org/spreadsheetml/2006/main" count="59752" uniqueCount="1632">
  <si>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</si>
  <si>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</si>
  <si>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</si>
  <si>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</si>
  <si>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</si>
  <si>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</si>
  <si>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</si>
  <si>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</si>
  <si>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</si>
  <si>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</si>
  <si>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</si>
  <si>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</si>
  <si>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</si>
  <si>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</si>
  <si>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</si>
  <si>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</si>
  <si>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</si>
  <si>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</si>
  <si>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</si>
  <si>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</si>
  <si>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</si>
  <si>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</si>
  <si>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</si>
  <si>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</si>
  <si>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</si>
  <si>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</si>
  <si>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</si>
  <si>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</si>
  <si>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</si>
  <si>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</si>
  <si>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</si>
  <si>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</si>
  <si>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</si>
  <si>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</si>
  <si>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</si>
  <si>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</si>
  <si>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</si>
  <si>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</si>
  <si>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</si>
  <si>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</si>
  <si>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</si>
  <si>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</si>
  <si>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</si>
  <si>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</si>
  <si>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</si>
  <si>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</si>
  <si>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</si>
  <si>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</si>
  <si>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</si>
  <si>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</si>
  <si>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</si>
  <si>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</si>
  <si>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</si>
  <si>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</si>
  <si>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</si>
  <si>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</si>
  <si>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</si>
  <si>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</si>
  <si>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</si>
  <si>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</si>
  <si>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</si>
  <si>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</si>
  <si>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</si>
  <si>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</si>
  <si>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</si>
  <si>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</si>
  <si>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</si>
  <si>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</si>
  <si>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</si>
  <si>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</si>
  <si>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</si>
  <si>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</si>
  <si>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</si>
  <si>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</si>
  <si>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</si>
  <si>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</si>
  <si>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</si>
  <si>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</si>
  <si>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</si>
  <si>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</si>
  <si>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</si>
  <si>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</si>
  <si>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</si>
  <si>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</si>
  <si>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</si>
  <si>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</si>
  <si>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</si>
  <si>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</si>
  <si>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</si>
  <si>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</si>
  <si>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</si>
  <si>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</si>
  <si>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</si>
  <si>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</si>
  <si>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</si>
  <si>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</si>
  <si>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</si>
  <si>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</si>
  <si>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</si>
  <si>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</si>
  <si>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</si>
  <si>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</si>
  <si>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</si>
  <si>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</si>
  <si>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</si>
  <si>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</si>
  <si>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</si>
  <si>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</si>
  <si>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</si>
  <si>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</si>
  <si>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</si>
  <si>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</si>
  <si>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</si>
  <si>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</si>
  <si>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</si>
  <si>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</si>
  <si>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</si>
  <si>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</si>
  <si>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</si>
  <si>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</si>
  <si>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</si>
  <si>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</si>
  <si>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</si>
  <si>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</si>
  <si>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</si>
  <si>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</si>
  <si>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</si>
  <si>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</si>
  <si>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</si>
  <si>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</si>
  <si>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</si>
  <si>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</si>
  <si>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</si>
  <si>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</si>
  <si>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</si>
  <si>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</si>
  <si>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</si>
  <si>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</si>
  <si>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</si>
  <si>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</si>
  <si>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</si>
  <si>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</si>
  <si>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</si>
  <si>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</si>
  <si>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</si>
  <si>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</si>
  <si>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</si>
  <si>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</si>
  <si>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</si>
  <si>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</si>
  <si>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</si>
  <si>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</si>
  <si>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</si>
  <si>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</si>
  <si>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</si>
  <si>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</si>
  <si>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</si>
  <si>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</si>
  <si>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</si>
  <si>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</si>
  <si>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</si>
  <si>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</si>
  <si>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</si>
  <si>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</si>
  <si>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</si>
  <si>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</si>
  <si>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</si>
  <si>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</si>
  <si>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</si>
  <si>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</si>
  <si>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</si>
  <si>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</si>
  <si>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</si>
  <si>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</si>
  <si>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</si>
  <si>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</si>
  <si>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</si>
  <si>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</si>
  <si>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</si>
  <si>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</si>
  <si>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</si>
  <si>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</si>
  <si>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</si>
  <si>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</si>
  <si>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</si>
  <si>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</si>
  <si>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</si>
  <si>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</si>
  <si>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</si>
  <si>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</si>
  <si>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</si>
  <si>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</si>
  <si>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</si>
  <si>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</si>
  <si>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</si>
  <si>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</si>
  <si>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</si>
  <si>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</si>
  <si>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</si>
  <si>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</si>
  <si>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</si>
  <si>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</si>
  <si>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</si>
  <si>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</si>
  <si>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</si>
  <si>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</si>
  <si>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</si>
  <si>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</si>
  <si>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</si>
  <si>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</si>
  <si>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</si>
  <si>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</si>
  <si>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</si>
  <si>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</si>
  <si>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</si>
  <si>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</si>
  <si>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</si>
  <si>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</si>
  <si>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</si>
  <si>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</si>
  <si>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</si>
  <si>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</si>
  <si>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</si>
  <si>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</si>
  <si>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</si>
  <si>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</si>
  <si>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</si>
  <si>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</si>
  <si>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</si>
  <si>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</si>
  <si>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</si>
  <si>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</si>
  <si>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</si>
  <si>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</si>
  <si>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</si>
  <si>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</si>
  <si>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</si>
  <si>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</si>
  <si>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</si>
  <si>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</si>
  <si>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</si>
  <si>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</si>
  <si>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</si>
  <si>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</si>
  <si>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</si>
  <si>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</si>
  <si>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</si>
  <si>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</si>
  <si>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</si>
  <si>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</si>
  <si>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</si>
  <si>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</si>
  <si>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</si>
  <si>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</si>
  <si>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</si>
  <si>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</si>
  <si>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</si>
  <si>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</si>
  <si>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</si>
  <si>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</si>
  <si>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</si>
  <si>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</si>
  <si>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</si>
  <si>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</si>
  <si>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</si>
  <si>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</si>
  <si>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</si>
  <si>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</si>
  <si>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</si>
  <si>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</si>
  <si>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</si>
  <si>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</si>
  <si>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</si>
  <si>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</si>
  <si>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</si>
  <si>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</si>
  <si>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</si>
  <si>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</si>
  <si>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</si>
  <si>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</si>
  <si>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</si>
  <si>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</si>
  <si>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</si>
  <si>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</si>
  <si>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</si>
  <si>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</si>
  <si>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</si>
  <si>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</si>
  <si>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</si>
  <si>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</si>
  <si>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</si>
  <si>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</si>
  <si>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</si>
  <si>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</si>
  <si>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</si>
  <si>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</si>
  <si>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</si>
  <si>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</si>
  <si>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</si>
  <si>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</si>
  <si>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</si>
  <si>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</si>
  <si>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</si>
  <si>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</si>
  <si>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</si>
  <si>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</si>
  <si>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</si>
  <si>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</si>
  <si>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</si>
  <si>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</si>
  <si>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</si>
  <si>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</si>
  <si>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</si>
  <si>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</si>
  <si>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</si>
  <si>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</si>
  <si>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</si>
  <si>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</si>
  <si>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</si>
  <si>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</si>
  <si>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</si>
  <si>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</si>
  <si>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</si>
  <si>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</si>
  <si>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</si>
  <si>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</si>
  <si>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</si>
  <si>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</si>
  <si>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</si>
  <si>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</si>
  <si>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</si>
  <si>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</si>
  <si>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</si>
  <si>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</si>
  <si>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</si>
  <si>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</si>
  <si>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</si>
  <si>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</si>
  <si>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</si>
  <si>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</si>
  <si>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</si>
  <si>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</si>
  <si>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</si>
  <si>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</si>
  <si>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</si>
  <si>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</si>
  <si>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</si>
  <si>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</si>
  <si>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</si>
  <si>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</si>
  <si>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</si>
  <si>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</si>
  <si>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</si>
  <si>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</si>
  <si>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</si>
  <si>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</si>
  <si>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</si>
  <si>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</si>
  <si>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</si>
  <si>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</si>
  <si>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</si>
  <si>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</si>
  <si>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</si>
  <si>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</si>
  <si>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</si>
  <si>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</si>
  <si>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</si>
  <si>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</si>
  <si>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</si>
  <si>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</si>
  <si>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</si>
  <si>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</si>
  <si>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</si>
  <si>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</si>
  <si>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</si>
  <si>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</si>
  <si>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</si>
  <si>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</si>
  <si>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</si>
  <si>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</si>
  <si>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</si>
  <si>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</si>
  <si>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</si>
  <si>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</si>
  <si>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</si>
  <si>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</si>
  <si>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</si>
  <si>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</si>
  <si>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</si>
  <si>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</si>
  <si>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</si>
  <si>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</si>
  <si>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</si>
  <si>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</si>
  <si>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</si>
  <si>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</si>
  <si>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</si>
  <si>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</si>
  <si>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</si>
  <si>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</si>
  <si>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</si>
  <si>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</si>
  <si>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</si>
  <si>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</si>
  <si>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</si>
  <si>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</si>
  <si>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</si>
  <si>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</si>
  <si>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</si>
  <si>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</si>
  <si>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</si>
  <si>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</si>
  <si>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</si>
  <si>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</si>
  <si>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</si>
  <si>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</si>
  <si>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</si>
  <si>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</si>
  <si>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</si>
  <si>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</si>
  <si>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</si>
  <si>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</si>
  <si>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</si>
  <si>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</si>
  <si>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</si>
  <si>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</si>
  <si>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</si>
  <si>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</si>
  <si>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</si>
  <si>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</si>
  <si>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</si>
  <si>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</si>
  <si>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</si>
  <si>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</si>
  <si>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</si>
  <si>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</si>
  <si>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</si>
  <si>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</si>
  <si>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</si>
  <si>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</si>
  <si>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</si>
  <si>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</si>
  <si>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</si>
  <si>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</si>
  <si>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</si>
  <si>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</si>
  <si>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</si>
  <si>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</si>
  <si>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</si>
  <si>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</si>
  <si>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</si>
  <si>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</si>
  <si>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</si>
  <si>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</si>
  <si>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</si>
  <si>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</si>
  <si>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</si>
  <si>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</si>
  <si>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</si>
  <si>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</si>
  <si>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</si>
  <si>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</si>
  <si>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</si>
  <si>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</si>
  <si>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</si>
  <si>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</si>
  <si>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</si>
  <si>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</si>
  <si>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</si>
  <si>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</si>
  <si>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</si>
  <si>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</si>
  <si>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</si>
  <si>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</si>
  <si>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</si>
  <si>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</si>
  <si>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</si>
  <si>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</si>
  <si>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</si>
  <si>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</si>
  <si>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</si>
  <si>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</si>
  <si>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</si>
  <si>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</si>
  <si>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</si>
  <si>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</si>
  <si>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</si>
  <si>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</si>
  <si>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</si>
  <si>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</si>
  <si>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</si>
  <si>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</si>
  <si>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</si>
  <si>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</si>
  <si>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</si>
  <si>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</si>
  <si>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</si>
  <si>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</si>
  <si>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</si>
  <si>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</si>
  <si>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</si>
  <si>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</si>
  <si>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</si>
  <si>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</si>
  <si>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</si>
  <si>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</si>
  <si>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</si>
  <si>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</si>
  <si>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</si>
  <si>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</si>
  <si>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</si>
  <si>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</si>
  <si>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</si>
  <si>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</si>
  <si>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</si>
  <si>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</si>
  <si>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</si>
  <si>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</si>
  <si>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</si>
  <si>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</si>
  <si>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</si>
  <si>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</si>
  <si>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</si>
  <si>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</si>
  <si>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</si>
  <si>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</si>
  <si>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</si>
  <si>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</si>
  <si>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</si>
  <si>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</si>
  <si>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</si>
  <si>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</si>
  <si>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</si>
  <si>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</si>
  <si>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</si>
  <si>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</si>
  <si>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</si>
  <si>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</si>
  <si>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</si>
  <si>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</si>
  <si>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</si>
  <si>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</si>
  <si>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</si>
  <si>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</si>
  <si>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</si>
  <si>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</si>
  <si>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</si>
  <si>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</si>
  <si>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</si>
  <si>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</si>
  <si>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</si>
  <si>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</si>
  <si>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</si>
  <si>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</si>
  <si>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</si>
  <si>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</si>
  <si>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</si>
  <si>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</si>
  <si>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</si>
  <si>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</si>
  <si>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</si>
  <si>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</si>
  <si>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</si>
  <si>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</si>
  <si>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</si>
  <si>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</si>
  <si>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</si>
  <si>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</si>
  <si>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</si>
  <si>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</si>
  <si>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</si>
  <si>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</si>
  <si>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</si>
  <si>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</si>
  <si>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</si>
  <si>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</si>
  <si>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</si>
  <si>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</si>
  <si>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</si>
  <si>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</si>
  <si>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</si>
  <si>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</si>
  <si>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</si>
  <si>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</si>
  <si>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</si>
  <si>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</si>
  <si>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</si>
  <si>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</si>
  <si>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</si>
  <si>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</si>
  <si>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</si>
  <si>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</si>
  <si>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</si>
  <si>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</si>
  <si>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</si>
  <si>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</si>
  <si>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</si>
  <si>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</si>
  <si>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</si>
  <si>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</si>
  <si>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</si>
  <si>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</si>
  <si>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</si>
  <si>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</si>
  <si>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</si>
  <si>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</si>
  <si>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</si>
  <si>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</si>
  <si>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</si>
  <si>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</si>
  <si>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</si>
  <si>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</si>
  <si>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</si>
  <si>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</si>
  <si>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</si>
  <si>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</si>
  <si>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</si>
  <si>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</si>
  <si>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</si>
  <si>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</si>
  <si>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</si>
  <si>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</si>
  <si>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</si>
  <si>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</si>
  <si>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</si>
  <si>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</si>
  <si>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</si>
  <si>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</si>
  <si>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</si>
  <si>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</si>
  <si>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</si>
  <si>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</si>
  <si>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</si>
  <si>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</si>
  <si>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</si>
  <si>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</si>
  <si>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</si>
  <si>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</si>
  <si>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</si>
  <si>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</si>
  <si>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</si>
  <si>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</si>
  <si>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</si>
  <si>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</si>
  <si>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</si>
  <si>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</si>
  <si>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</si>
  <si>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</si>
  <si>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</si>
  <si>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</si>
  <si>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</si>
  <si>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</si>
  <si>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</si>
  <si>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</si>
  <si>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</si>
  <si>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</si>
  <si>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</si>
  <si>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</si>
  <si>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</si>
  <si>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</si>
  <si>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</si>
  <si>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</si>
  <si>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</si>
  <si>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</si>
  <si>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</si>
  <si>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</si>
  <si>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</si>
  <si>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</si>
  <si>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</si>
  <si>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</si>
  <si>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</si>
  <si>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</si>
  <si>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</si>
  <si>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</si>
  <si>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</si>
  <si>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</si>
  <si>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</si>
  <si>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</si>
  <si>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</si>
  <si>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</si>
  <si>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</si>
  <si>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</si>
  <si>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</si>
  <si>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</si>
  <si>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</si>
  <si>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</si>
  <si>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</si>
  <si>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</si>
  <si>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</si>
  <si>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</si>
  <si>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</si>
  <si>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</si>
  <si>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</si>
  <si>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</si>
  <si>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</si>
  <si>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</si>
  <si>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</si>
  <si>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</si>
  <si>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</si>
  <si>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</si>
  <si>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</si>
  <si>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</si>
  <si>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</si>
  <si>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</si>
  <si>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</si>
  <si>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</si>
  <si>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</si>
  <si>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</si>
  <si>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</si>
  <si>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</si>
  <si>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</si>
  <si>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</si>
  <si>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</si>
  <si>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</si>
  <si>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</si>
  <si>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</si>
  <si>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</si>
  <si>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</si>
  <si>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</si>
  <si>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</si>
  <si>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</si>
  <si>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</si>
  <si>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</si>
  <si>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</si>
  <si>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</si>
  <si>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</si>
  <si>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</si>
  <si>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</si>
  <si>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</si>
  <si>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</si>
  <si>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</si>
  <si>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</si>
  <si>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</si>
  <si>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</si>
  <si>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</si>
  <si>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</si>
  <si>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</si>
  <si>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</si>
  <si>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</si>
  <si>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</si>
  <si>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</si>
  <si>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</si>
  <si>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</si>
  <si>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</si>
  <si>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</si>
  <si>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</si>
  <si>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</si>
  <si>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</si>
  <si>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</si>
  <si>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</si>
  <si>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</si>
  <si>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</si>
  <si>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</si>
  <si>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</si>
  <si>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</si>
  <si>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</si>
  <si>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</si>
  <si>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</si>
  <si>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</si>
  <si>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</si>
  <si>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</si>
  <si>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</si>
  <si>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</si>
  <si>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</si>
  <si>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</si>
  <si>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</si>
  <si>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</si>
  <si>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</si>
  <si>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</si>
  <si>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</si>
  <si>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</si>
  <si>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</si>
  <si>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</si>
  <si>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</si>
  <si>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</si>
  <si>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</si>
  <si>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</si>
  <si>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</si>
  <si>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</si>
  <si>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</si>
  <si>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</si>
  <si>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</si>
  <si>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</si>
  <si>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</si>
  <si>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</si>
  <si>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</si>
  <si>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</si>
  <si>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</si>
  <si>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</si>
  <si>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</si>
  <si>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</si>
  <si>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</si>
  <si>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</si>
  <si>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</si>
  <si>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</si>
  <si>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</si>
  <si>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</si>
  <si>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</si>
  <si>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</si>
  <si>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</si>
  <si>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</si>
  <si>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</si>
  <si>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</si>
  <si>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</si>
  <si>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</si>
  <si>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</si>
  <si>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</si>
  <si>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</si>
  <si>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</si>
  <si>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</si>
  <si>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</si>
  <si>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</si>
  <si>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</si>
  <si>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</si>
  <si>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</si>
  <si>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</si>
  <si>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</si>
  <si>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</si>
  <si>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</si>
  <si>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</si>
  <si>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</si>
  <si>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</si>
  <si>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</si>
  <si>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</si>
  <si>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</si>
  <si>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</si>
  <si>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</si>
  <si>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</si>
  <si>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</si>
  <si>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</si>
  <si>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</si>
  <si>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</si>
  <si>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</si>
  <si>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</si>
  <si>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</si>
  <si>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</si>
  <si>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</si>
  <si>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</si>
  <si>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</si>
  <si>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</si>
  <si>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</si>
  <si>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</si>
  <si>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</si>
  <si>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</si>
  <si>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</si>
  <si>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</si>
  <si>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</si>
  <si>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</si>
  <si>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</si>
  <si>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</si>
  <si>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</si>
  <si>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</si>
  <si>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</si>
  <si>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</si>
  <si>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</si>
  <si>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</si>
  <si>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</si>
  <si>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</si>
  <si>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</si>
  <si>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</si>
  <si>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</si>
  <si>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</si>
  <si>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</si>
  <si>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</si>
  <si>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</si>
  <si>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</si>
  <si>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</si>
  <si>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</si>
  <si>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</si>
  <si>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</si>
  <si>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</si>
  <si>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</si>
  <si>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</si>
  <si>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</si>
  <si>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</si>
  <si>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</si>
  <si>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</si>
  <si>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</si>
  <si>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</si>
  <si>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</si>
  <si>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</si>
  <si>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</si>
  <si>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</si>
  <si>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</si>
  <si>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</si>
  <si>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</si>
  <si>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</si>
  <si>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</si>
  <si>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</si>
  <si>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</si>
  <si>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</si>
  <si>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</si>
  <si>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</si>
  <si>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</si>
  <si>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</si>
  <si>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</si>
  <si>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</si>
  <si>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</si>
  <si>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</si>
  <si>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</si>
  <si>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</si>
  <si>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</si>
  <si>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</si>
  <si>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</si>
  <si>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</si>
  <si>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</si>
  <si>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</si>
  <si>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</si>
  <si>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</si>
  <si>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</si>
  <si>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</si>
  <si>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</si>
  <si>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</si>
  <si>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</si>
  <si>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</si>
  <si>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</si>
  <si>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</si>
  <si>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</si>
  <si>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</si>
  <si>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</si>
  <si>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</si>
  <si>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</si>
  <si>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</si>
  <si>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</si>
  <si>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</si>
  <si>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</si>
  <si>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</si>
  <si>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</si>
  <si>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</si>
  <si>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</si>
  <si>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</si>
  <si>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</si>
  <si>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</si>
  <si>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</si>
  <si>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</si>
  <si>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</si>
  <si>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</si>
  <si>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</si>
  <si>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</si>
  <si>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</si>
  <si>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</si>
  <si>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</si>
  <si>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</si>
  <si>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</si>
  <si>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</si>
  <si>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</si>
  <si>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</si>
  <si>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</si>
  <si>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</si>
  <si>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</si>
  <si>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</si>
  <si>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</si>
  <si>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</si>
  <si>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</si>
  <si>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</si>
  <si>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</si>
  <si>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</si>
  <si>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</si>
  <si>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</si>
  <si>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</si>
  <si>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</si>
  <si>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</si>
  <si>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</si>
  <si>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</si>
  <si>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</si>
  <si>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</si>
  <si>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</si>
  <si>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</si>
  <si>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</si>
  <si>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</si>
  <si>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</si>
  <si>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</si>
  <si>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</si>
  <si>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</si>
  <si>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</si>
  <si>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</si>
  <si>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</si>
  <si>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</si>
  <si>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</si>
  <si>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</si>
  <si>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</si>
  <si>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</si>
  <si>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</si>
  <si>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</si>
  <si>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</si>
  <si>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</si>
  <si>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</si>
  <si>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</si>
  <si>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</si>
  <si>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</si>
  <si>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</si>
  <si>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</si>
  <si>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</si>
  <si>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</si>
  <si>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</si>
  <si>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</si>
  <si>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</si>
  <si>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</si>
  <si>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</si>
  <si>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</si>
  <si>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</si>
  <si>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</si>
  <si>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</si>
  <si>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</si>
  <si>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</si>
  <si>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</si>
  <si>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</si>
  <si>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</si>
  <si>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</si>
  <si>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</si>
  <si>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</si>
  <si>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</si>
  <si>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</si>
  <si>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</si>
  <si>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</si>
  <si>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</si>
  <si>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</si>
  <si>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</si>
  <si>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</si>
  <si>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</si>
  <si>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</si>
  <si>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</si>
  <si>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</si>
  <si>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</si>
  <si>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</si>
  <si>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</si>
  <si>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</si>
  <si>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</si>
  <si>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</si>
  <si>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</si>
  <si>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</si>
  <si>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</si>
  <si>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</si>
  <si>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</si>
  <si>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</si>
  <si>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</si>
  <si>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</si>
  <si>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</si>
  <si>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</si>
  <si>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</si>
  <si>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</si>
  <si>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</si>
  <si>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</si>
  <si>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</si>
  <si>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</si>
  <si>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</si>
  <si>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</si>
  <si>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</si>
  <si>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</si>
  <si>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</si>
  <si>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</si>
  <si>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</si>
  <si>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</si>
  <si>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</si>
  <si>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</si>
  <si>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</si>
  <si>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</si>
  <si>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</si>
  <si>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</si>
  <si>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</si>
  <si>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</si>
  <si>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</si>
  <si>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</si>
  <si>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</si>
  <si>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</si>
  <si>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</si>
  <si>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</si>
  <si>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</si>
  <si>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</si>
  <si>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</si>
  <si>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</si>
  <si>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</si>
  <si>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</si>
  <si>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</si>
  <si>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</si>
  <si>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</si>
  <si>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</si>
  <si>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</si>
  <si>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</si>
  <si>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</si>
  <si>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</si>
  <si>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</si>
  <si>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</si>
  <si>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</si>
  <si>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</si>
  <si>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</si>
  <si>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</si>
  <si>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</si>
  <si>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</si>
  <si>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</si>
  <si>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</si>
  <si>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</si>
  <si>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</si>
  <si>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</si>
  <si>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</si>
  <si>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</si>
  <si>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</si>
  <si>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</si>
  <si>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</si>
  <si>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</si>
  <si>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</si>
  <si>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</si>
  <si>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</si>
  <si>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</si>
  <si>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</si>
  <si>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</si>
  <si>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</si>
  <si>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</si>
  <si>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</si>
  <si>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</si>
  <si>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</si>
  <si>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</si>
  <si>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</si>
  <si>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</si>
  <si>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</si>
  <si>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</si>
  <si>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</si>
  <si>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</si>
  <si>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</si>
  <si>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</si>
  <si>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</si>
  <si>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</si>
  <si>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</si>
  <si>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</si>
  <si>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</si>
  <si>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</si>
  <si>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</si>
  <si>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</si>
  <si>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</si>
  <si>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</si>
  <si>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</si>
  <si>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</si>
  <si>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</si>
  <si>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</si>
  <si>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</si>
  <si>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</si>
  <si>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</si>
  <si>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</si>
  <si>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</si>
  <si>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</si>
  <si>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</si>
  <si>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</si>
  <si>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</si>
  <si>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</si>
  <si>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</si>
  <si>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</si>
  <si>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</si>
  <si>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</si>
  <si>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</si>
  <si>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</si>
  <si>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</si>
  <si>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</si>
  <si>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</si>
  <si>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</si>
  <si>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</si>
  <si>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</si>
  <si>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</si>
  <si>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</si>
  <si>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</si>
  <si>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</si>
  <si>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</si>
  <si>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</si>
  <si>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</si>
  <si>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</si>
  <si>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</si>
  <si>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</si>
  <si>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</si>
  <si>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</si>
  <si>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</si>
  <si>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</si>
  <si>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</si>
  <si>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</si>
  <si>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</si>
  <si>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</si>
  <si>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</si>
  <si>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</si>
  <si>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</si>
  <si>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</si>
  <si>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</si>
  <si>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</si>
  <si>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</si>
  <si>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</si>
  <si>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</si>
  <si>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</si>
  <si>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</si>
  <si>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</si>
  <si>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</si>
  <si>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</si>
  <si>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</si>
  <si>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</si>
  <si>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</si>
  <si>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</si>
  <si>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</si>
  <si>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</si>
  <si>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</si>
  <si>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</si>
  <si>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</si>
  <si>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</si>
  <si>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</si>
  <si>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</si>
  <si>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</si>
  <si>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</si>
  <si>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</si>
  <si>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</si>
  <si>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</si>
  <si>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</si>
  <si>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</si>
  <si>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</si>
  <si>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</si>
  <si>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</si>
  <si>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</si>
  <si>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</si>
  <si>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</si>
  <si>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</si>
  <si>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</si>
  <si>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</si>
  <si>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</si>
  <si>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</si>
  <si>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</si>
  <si>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</si>
  <si>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</si>
  <si>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</si>
  <si>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</si>
  <si>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</si>
  <si>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</si>
  <si>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</si>
  <si>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</si>
  <si>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</si>
  <si>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</si>
  <si>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</si>
  <si>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</si>
  <si>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</si>
  <si>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</si>
  <si>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</si>
  <si>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</si>
  <si>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</si>
  <si>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</si>
  <si>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</si>
  <si>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</si>
  <si>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</si>
  <si>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</si>
  <si>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</si>
  <si>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</si>
  <si>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</si>
  <si>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</si>
  <si>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</si>
  <si>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</si>
  <si>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</si>
  <si>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</si>
  <si>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</si>
  <si>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</si>
  <si>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</si>
  <si>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</si>
  <si>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</si>
  <si>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</si>
  <si>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</si>
  <si>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</si>
  <si>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</si>
  <si>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</si>
  <si>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</si>
  <si>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</si>
  <si>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</si>
  <si>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</si>
  <si>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</si>
  <si>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</si>
  <si>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</si>
  <si>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</si>
  <si>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</si>
  <si>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</si>
  <si>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</si>
  <si>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</si>
  <si>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</si>
  <si>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</si>
  <si>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</si>
  <si>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</si>
  <si>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</si>
  <si>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</si>
  <si>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</si>
  <si>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</si>
  <si>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</si>
  <si>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</si>
  <si>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</si>
  <si>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</si>
  <si>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</si>
  <si>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</si>
  <si>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</si>
  <si>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</si>
  <si>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</si>
  <si>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</si>
  <si>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</si>
  <si>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</si>
  <si>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</si>
  <si>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</si>
  <si>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</si>
  <si>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</si>
  <si>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</si>
  <si>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</si>
  <si>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</si>
  <si>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</si>
  <si>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</si>
  <si>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</si>
  <si>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</si>
  <si>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</si>
  <si>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</si>
  <si>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</si>
  <si>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</si>
  <si>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</si>
  <si>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</si>
  <si>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</si>
  <si>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</si>
  <si>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</si>
  <si>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</si>
  <si>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</si>
  <si>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</si>
  <si>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</si>
  <si>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</si>
  <si>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</si>
  <si>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</si>
  <si>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</si>
  <si>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</si>
  <si>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</si>
  <si>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</si>
  <si>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</si>
  <si>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</si>
  <si>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</si>
  <si>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</si>
  <si>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</si>
  <si>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</si>
  <si>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</si>
  <si>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</si>
  <si>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</si>
  <si>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</si>
  <si>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</si>
  <si>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</si>
  <si>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</si>
  <si>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</si>
  <si>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</si>
  <si>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</si>
  <si>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</si>
  <si>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</si>
  <si>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</si>
  <si>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</si>
  <si>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</si>
  <si>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</si>
  <si>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</si>
  <si>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</si>
  <si>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</si>
  <si>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</si>
  <si>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</si>
  <si>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</si>
  <si>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</si>
  <si>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</si>
  <si>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</si>
  <si>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</si>
  <si>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</si>
  <si>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</si>
  <si>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</si>
  <si>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</si>
  <si>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</si>
  <si>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</si>
  <si>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</si>
  <si>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</si>
  <si>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</si>
  <si>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</si>
  <si>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</si>
  <si>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</si>
  <si>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</si>
  <si>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</si>
  <si>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</si>
  <si>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</si>
  <si>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</si>
  <si>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</si>
  <si>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</si>
  <si>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</si>
  <si>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</si>
  <si>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</si>
  <si>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</si>
  <si>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</si>
  <si>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</si>
  <si>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</si>
  <si>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</si>
  <si>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</si>
  <si>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</si>
  <si>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</si>
  <si>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</si>
  <si>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</si>
  <si>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</si>
  <si>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</si>
  <si>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</si>
  <si>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</si>
  <si>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</si>
  <si>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</si>
  <si>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</si>
  <si>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</si>
  <si>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</si>
  <si>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</si>
  <si>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</si>
  <si>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</si>
  <si>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</si>
  <si>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</si>
  <si>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</si>
  <si>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</si>
  <si>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</si>
  <si>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</si>
  <si>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</si>
  <si>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</si>
  <si>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</si>
  <si>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</si>
  <si>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</si>
  <si>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</si>
  <si>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</si>
  <si>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</si>
  <si>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</si>
  <si>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</si>
  <si>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</si>
  <si>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</si>
  <si>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</si>
  <si>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</si>
  <si>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</si>
  <si>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</si>
  <si>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</si>
  <si>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</si>
  <si>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</si>
  <si>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</si>
  <si>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</si>
  <si>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</si>
  <si>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</si>
  <si>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</si>
  <si>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</si>
  <si>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</si>
  <si>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</si>
  <si>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</si>
  <si>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</si>
  <si>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</si>
  <si>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</si>
  <si>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</si>
  <si>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</si>
  <si>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</si>
  <si>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</si>
  <si>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</si>
  <si>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</si>
  <si>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</si>
  <si>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</si>
  <si>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</si>
  <si>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</si>
  <si>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</si>
  <si>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</si>
  <si>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</si>
  <si>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</si>
  <si>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</si>
  <si>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</si>
  <si>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</si>
  <si>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</si>
  <si>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</si>
  <si>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</si>
  <si>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</si>
  <si>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</si>
  <si>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</si>
  <si>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</si>
  <si>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</si>
  <si>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</si>
  <si>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</si>
  <si>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</si>
  <si>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</si>
  <si>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</si>
  <si>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</si>
  <si>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</si>
  <si>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</si>
  <si>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</si>
  <si>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</si>
  <si>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</si>
  <si>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</si>
  <si>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</si>
  <si>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</si>
  <si>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</si>
  <si>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</si>
  <si>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</si>
  <si>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</si>
  <si>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</si>
  <si>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</si>
  <si>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</si>
  <si>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</si>
  <si>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</si>
  <si>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</si>
  <si>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</si>
  <si>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</si>
  <si>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</si>
  <si>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</si>
  <si>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</si>
  <si>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</si>
  <si>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</si>
  <si>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</si>
  <si>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</si>
  <si>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</si>
  <si>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</si>
  <si>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</si>
  <si>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</si>
  <si>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</si>
  <si>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</si>
  <si>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</si>
  <si>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</si>
  <si>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</si>
  <si>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</si>
  <si>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</si>
  <si>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</si>
  <si>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</si>
  <si>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</si>
  <si>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</si>
  <si>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</si>
  <si>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</si>
  <si>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</si>
  <si>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</si>
  <si>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</si>
  <si>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</si>
  <si>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</si>
  <si>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</si>
  <si>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</si>
  <si>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</si>
  <si>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</si>
  <si>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</si>
  <si>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</si>
  <si>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</si>
  <si>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</si>
  <si>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</si>
  <si>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</si>
  <si>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</si>
  <si>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</si>
  <si>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</si>
  <si>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</si>
  <si>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</si>
  <si>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</si>
  <si>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</si>
  <si>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</si>
  <si>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</si>
  <si>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</si>
  <si>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</si>
  <si>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</si>
  <si>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</si>
  <si>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</si>
  <si>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</si>
  <si>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</si>
  <si>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</si>
  <si>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</si>
  <si>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</si>
  <si>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</si>
  <si>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</si>
  <si>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</si>
  <si>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</si>
  <si>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</si>
  <si>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</si>
  <si>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</si>
  <si>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</si>
  <si>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</si>
  <si>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</si>
  <si>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</si>
  <si>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</si>
  <si>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</si>
  <si>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</si>
  <si>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</si>
  <si>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</si>
  <si>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</si>
  <si>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</si>
  <si>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</si>
  <si>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</si>
  <si>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</si>
  <si>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</si>
  <si>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</si>
  <si>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</si>
  <si>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</si>
  <si>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</si>
  <si>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</si>
  <si>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</si>
  <si>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</si>
  <si>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</si>
  <si>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</si>
  <si>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</si>
  <si>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</si>
  <si>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</si>
  <si>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</si>
  <si>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</si>
  <si>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</si>
  <si>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</si>
  <si>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</si>
  <si>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</si>
  <si>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</si>
  <si>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</si>
  <si>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</si>
  <si>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</si>
  <si>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</si>
  <si>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</si>
  <si>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</si>
  <si>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</si>
  <si>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</si>
  <si>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</si>
  <si>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</si>
  <si>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</si>
  <si>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</si>
  <si>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</si>
  <si>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</si>
  <si>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</si>
  <si>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</si>
  <si>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</si>
  <si>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</si>
  <si>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</si>
  <si>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</si>
  <si>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</si>
  <si>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</si>
  <si>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</si>
  <si>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</si>
  <si>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</si>
  <si>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</si>
  <si>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</si>
  <si>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</si>
  <si>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</si>
  <si>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</si>
  <si>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Avg Sales</t>
  </si>
  <si>
    <t>Avg Rating</t>
  </si>
  <si>
    <t>No Of Items</t>
  </si>
  <si>
    <t>KPI's Requirements</t>
  </si>
  <si>
    <t>Row Labels</t>
  </si>
  <si>
    <t>Total Sales By Fat Content</t>
  </si>
  <si>
    <t>Total Sales By Item Type</t>
  </si>
  <si>
    <t>Column Labels</t>
  </si>
  <si>
    <t>Fat Content By Outlet For Total Sales</t>
  </si>
  <si>
    <t>Total Sales By Outlet Establishment</t>
  </si>
  <si>
    <t>Sales By Outlet Size</t>
  </si>
  <si>
    <t>Outlet Location</t>
  </si>
  <si>
    <t>Sales</t>
  </si>
  <si>
    <t>Sales Outlet By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</si>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</sst>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0" xfId="0" applyAlignment="1">
      <alignment horizontal="center"/>
    </xf>
    <xf numFmtId="0" fontId="0" fillId="0" borderId="19" xfId="0" applyBorder="1"/>
    <xf numFmtId="0" fontId="0" fillId="0" borderId="20" xfId="0" applyBorder="1"/>
    <xf numFmtId="0" fontId="0" fillId="0" borderId="21" xfId="0" applyBorder="1"/>
    <xf numFmtId="0" fontId="18" fillId="0" borderId="0" xfId="0" applyFont="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33" borderId="19" xfId="0"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0" xfId="0" applyBorder="1"/>
    <xf numFmtId="167" fontId="0" fillId="0" borderId="0"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9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376B0E93-E1F3-4646-AAC9-8A8EE1869C76}">
      <tableStyleElement type="wholeTable" dxfId="950"/>
      <tableStyleElement type="headerRow" dxfId="949"/>
    </tableStyle>
  </tableStyles>
  <colors>
    <mruColors>
      <color rgb="FFD0AC2C"/>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CB-4240-B01B-6BE5DCCAD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CB-4240-B01B-6BE5DCCAD656}"/>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ACF8-4A3D-8E49-CDAE9D330C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Design'!$B$28:$B$29</c:f>
              <c:strCache>
                <c:ptCount val="1"/>
                <c:pt idx="0">
                  <c:v>Regular</c:v>
                </c:pt>
              </c:strCache>
            </c:strRef>
          </c:tx>
          <c:spPr>
            <a:solidFill>
              <a:schemeClr val="accent1"/>
            </a:solidFill>
            <a:ln>
              <a:noFill/>
            </a:ln>
            <a:effectLst/>
          </c:spPr>
          <c:invertIfNegative val="0"/>
          <c:cat>
            <c:strRef>
              <c:f>'Sheets Design'!$A$30:$A$32</c:f>
              <c:strCache>
                <c:ptCount val="3"/>
                <c:pt idx="0">
                  <c:v>Tier 1</c:v>
                </c:pt>
                <c:pt idx="1">
                  <c:v>Tier 2</c:v>
                </c:pt>
                <c:pt idx="2">
                  <c:v>Tier 3</c:v>
                </c:pt>
              </c:strCache>
            </c:strRef>
          </c:cat>
          <c:val>
            <c:numRef>
              <c:f>'Sheets Design'!$B$30:$B$32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786-491B-A998-010F7E62F078}"/>
            </c:ext>
          </c:extLst>
        </c:ser>
        <c:ser>
          <c:idx val="1"/>
          <c:order val="1"/>
          <c:tx>
            <c:strRef>
              <c:f>'Sheets Design'!$C$28:$C$29</c:f>
              <c:strCache>
                <c:ptCount val="1"/>
                <c:pt idx="0">
                  <c:v>Low Fat</c:v>
                </c:pt>
              </c:strCache>
            </c:strRef>
          </c:tx>
          <c:spPr>
            <a:solidFill>
              <a:schemeClr val="accent2"/>
            </a:solidFill>
            <a:ln>
              <a:noFill/>
            </a:ln>
            <a:effectLst/>
          </c:spPr>
          <c:invertIfNegative val="0"/>
          <c:cat>
            <c:strRef>
              <c:f>'Sheets Design'!$A$30:$A$32</c:f>
              <c:strCache>
                <c:ptCount val="3"/>
                <c:pt idx="0">
                  <c:v>Tier 1</c:v>
                </c:pt>
                <c:pt idx="1">
                  <c:v>Tier 2</c:v>
                </c:pt>
                <c:pt idx="2">
                  <c:v>Tier 3</c:v>
                </c:pt>
              </c:strCache>
            </c:strRef>
          </c:cat>
          <c:val>
            <c:numRef>
              <c:f>'Sheets Design'!$C$30:$C$32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786-491B-A998-010F7E62F078}"/>
            </c:ext>
          </c:extLst>
        </c:ser>
        <c:dLbls>
          <c:showLegendKey val="0"/>
          <c:showVal val="0"/>
          <c:showCatName val="0"/>
          <c:showSerName val="0"/>
          <c:showPercent val="0"/>
          <c:showBubbleSize val="0"/>
        </c:dLbls>
        <c:gapWidth val="182"/>
        <c:axId val="1410433263"/>
        <c:axId val="1410433743"/>
      </c:barChart>
      <c:catAx>
        <c:axId val="141043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33743"/>
        <c:crosses val="autoZero"/>
        <c:auto val="1"/>
        <c:lblAlgn val="ctr"/>
        <c:lblOffset val="100"/>
        <c:noMultiLvlLbl val="0"/>
      </c:catAx>
      <c:valAx>
        <c:axId val="1410433743"/>
        <c:scaling>
          <c:orientation val="minMax"/>
        </c:scaling>
        <c:delete val="1"/>
        <c:axPos val="b"/>
        <c:numFmt formatCode="&quot;$&quot;0.0,&quot;K&quot;" sourceLinked="1"/>
        <c:majorTickMark val="none"/>
        <c:minorTickMark val="none"/>
        <c:tickLblPos val="nextTo"/>
        <c:crossAx val="1410433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Design'!$B$43</c:f>
              <c:strCache>
                <c:ptCount val="1"/>
                <c:pt idx="0">
                  <c:v>Total</c:v>
                </c:pt>
              </c:strCache>
            </c:strRef>
          </c:tx>
          <c:spPr>
            <a:solidFill>
              <a:schemeClr val="accent1"/>
            </a:solidFill>
            <a:ln>
              <a:noFill/>
            </a:ln>
            <a:effectLst/>
          </c:spPr>
          <c:invertIfNegative val="0"/>
          <c:cat>
            <c:strRef>
              <c:f>'Sheets Design'!$A$44:$A$59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Design'!$B$44:$B$59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B8B-4DD3-BECE-775C272141AD}"/>
            </c:ext>
          </c:extLst>
        </c:ser>
        <c:dLbls>
          <c:showLegendKey val="0"/>
          <c:showVal val="0"/>
          <c:showCatName val="0"/>
          <c:showSerName val="0"/>
          <c:showPercent val="0"/>
          <c:showBubbleSize val="0"/>
        </c:dLbls>
        <c:gapWidth val="182"/>
        <c:axId val="152103583"/>
        <c:axId val="152104063"/>
      </c:barChart>
      <c:catAx>
        <c:axId val="15210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04063"/>
        <c:crosses val="autoZero"/>
        <c:auto val="1"/>
        <c:lblAlgn val="ctr"/>
        <c:lblOffset val="100"/>
        <c:noMultiLvlLbl val="0"/>
      </c:catAx>
      <c:valAx>
        <c:axId val="152104063"/>
        <c:scaling>
          <c:orientation val="minMax"/>
        </c:scaling>
        <c:delete val="1"/>
        <c:axPos val="b"/>
        <c:numFmt formatCode="&quot;$&quot;0.0,&quot;K&quot;" sourceLinked="1"/>
        <c:majorTickMark val="none"/>
        <c:minorTickMark val="none"/>
        <c:tickLblPos val="nextTo"/>
        <c:crossAx val="1521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Design'!$B$63</c:f>
              <c:strCache>
                <c:ptCount val="1"/>
                <c:pt idx="0">
                  <c:v>Total</c:v>
                </c:pt>
              </c:strCache>
            </c:strRef>
          </c:tx>
          <c:spPr>
            <a:solidFill>
              <a:schemeClr val="accent1"/>
            </a:solidFill>
            <a:ln>
              <a:noFill/>
            </a:ln>
            <a:effectLst/>
          </c:spPr>
          <c:cat>
            <c:strRef>
              <c:f>'Sheets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'Sheets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8A3-4A65-9AD9-226A5B13D317}"/>
            </c:ext>
          </c:extLst>
        </c:ser>
        <c:dLbls>
          <c:showLegendKey val="0"/>
          <c:showVal val="0"/>
          <c:showCatName val="0"/>
          <c:showSerName val="0"/>
          <c:showPercent val="0"/>
          <c:showBubbleSize val="0"/>
        </c:dLbls>
        <c:axId val="242854063"/>
        <c:axId val="242850703"/>
      </c:areaChart>
      <c:catAx>
        <c:axId val="24285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50703"/>
        <c:crosses val="autoZero"/>
        <c:auto val="1"/>
        <c:lblAlgn val="ctr"/>
        <c:lblOffset val="100"/>
        <c:noMultiLvlLbl val="0"/>
      </c:catAx>
      <c:valAx>
        <c:axId val="24285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54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Design'!$B$81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Design'!$A$82:$A$84</c:f>
              <c:strCache>
                <c:ptCount val="3"/>
                <c:pt idx="0">
                  <c:v>High</c:v>
                </c:pt>
                <c:pt idx="1">
                  <c:v>Medium</c:v>
                </c:pt>
                <c:pt idx="2">
                  <c:v>Small</c:v>
                </c:pt>
              </c:strCache>
            </c:strRef>
          </c:cat>
          <c:val>
            <c:numRef>
              <c:f>'Sheets Design'!$B$82:$B$84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73E3-4D0C-B21E-663717DE02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Design'!$B$104</c:f>
              <c:strCache>
                <c:ptCount val="1"/>
                <c:pt idx="0">
                  <c:v>Total</c:v>
                </c:pt>
              </c:strCache>
            </c:strRef>
          </c:tx>
          <c:spPr>
            <a:solidFill>
              <a:schemeClr val="accent1"/>
            </a:solidFill>
            <a:ln>
              <a:noFill/>
            </a:ln>
            <a:effectLst/>
          </c:spPr>
          <c:invertIfNegative val="0"/>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6B0-4D3E-81BA-60847923550A}"/>
            </c:ext>
          </c:extLst>
        </c:ser>
        <c:dLbls>
          <c:showLegendKey val="0"/>
          <c:showVal val="0"/>
          <c:showCatName val="0"/>
          <c:showSerName val="0"/>
          <c:showPercent val="0"/>
          <c:showBubbleSize val="0"/>
        </c:dLbls>
        <c:gapWidth val="182"/>
        <c:axId val="1406909696"/>
        <c:axId val="1406911136"/>
      </c:barChart>
      <c:catAx>
        <c:axId val="140690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11136"/>
        <c:crosses val="autoZero"/>
        <c:auto val="1"/>
        <c:lblAlgn val="ctr"/>
        <c:lblOffset val="100"/>
        <c:noMultiLvlLbl val="0"/>
      </c:catAx>
      <c:valAx>
        <c:axId val="1406911136"/>
        <c:scaling>
          <c:orientation val="minMax"/>
        </c:scaling>
        <c:delete val="1"/>
        <c:axPos val="b"/>
        <c:numFmt formatCode="&quot;$&quot;0.0,&quot;K&quot;" sourceLinked="1"/>
        <c:majorTickMark val="none"/>
        <c:minorTickMark val="none"/>
        <c:tickLblPos val="nextTo"/>
        <c:crossAx val="140690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Design'!$B$112</c:f>
              <c:strCache>
                <c:ptCount val="1"/>
                <c:pt idx="0">
                  <c:v>Total</c:v>
                </c:pt>
              </c:strCache>
            </c:strRef>
          </c:tx>
          <c:spPr>
            <a:solidFill>
              <a:schemeClr val="accent1"/>
            </a:solidFill>
            <a:ln>
              <a:noFill/>
            </a:ln>
            <a:effectLst/>
          </c:spPr>
          <c:invertIfNegative val="0"/>
          <c:cat>
            <c:strRef>
              <c:f>'Sheets Design'!$A$113:$A$116</c:f>
              <c:strCache>
                <c:ptCount val="4"/>
                <c:pt idx="0">
                  <c:v>Grocery Store</c:v>
                </c:pt>
                <c:pt idx="1">
                  <c:v>Supermarket Type3</c:v>
                </c:pt>
                <c:pt idx="2">
                  <c:v>Supermarket Type2</c:v>
                </c:pt>
                <c:pt idx="3">
                  <c:v>Supermarket Type1</c:v>
                </c:pt>
              </c:strCache>
            </c:strRef>
          </c:cat>
          <c:val>
            <c:numRef>
              <c:f>'Sheets Design'!$B$113:$B$116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C97-4736-8686-5EF3A044A662}"/>
            </c:ext>
          </c:extLst>
        </c:ser>
        <c:dLbls>
          <c:showLegendKey val="0"/>
          <c:showVal val="0"/>
          <c:showCatName val="0"/>
          <c:showSerName val="0"/>
          <c:showPercent val="0"/>
          <c:showBubbleSize val="0"/>
        </c:dLbls>
        <c:gapWidth val="182"/>
        <c:axId val="1406899136"/>
        <c:axId val="1406893856"/>
      </c:barChart>
      <c:catAx>
        <c:axId val="140689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893856"/>
        <c:crosses val="autoZero"/>
        <c:auto val="1"/>
        <c:lblAlgn val="ctr"/>
        <c:lblOffset val="100"/>
        <c:noMultiLvlLbl val="0"/>
      </c:catAx>
      <c:valAx>
        <c:axId val="1406893856"/>
        <c:scaling>
          <c:orientation val="minMax"/>
        </c:scaling>
        <c:delete val="1"/>
        <c:axPos val="b"/>
        <c:numFmt formatCode="\$0" sourceLinked="1"/>
        <c:majorTickMark val="none"/>
        <c:minorTickMark val="none"/>
        <c:tickLblPos val="nextTo"/>
        <c:crossAx val="140689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Design'!$B$121</c:f>
              <c:strCache>
                <c:ptCount val="1"/>
                <c:pt idx="0">
                  <c:v>Total</c:v>
                </c:pt>
              </c:strCache>
            </c:strRef>
          </c:tx>
          <c:spPr>
            <a:solidFill>
              <a:schemeClr val="accent1"/>
            </a:solidFill>
            <a:ln>
              <a:noFill/>
            </a:ln>
            <a:effectLst/>
          </c:spPr>
          <c:invertIfNegative val="0"/>
          <c:cat>
            <c:strRef>
              <c:f>'Sheets Design'!$A$122:$A$125</c:f>
              <c:strCache>
                <c:ptCount val="4"/>
                <c:pt idx="0">
                  <c:v>Grocery Store</c:v>
                </c:pt>
                <c:pt idx="1">
                  <c:v>Supermarket Type3</c:v>
                </c:pt>
                <c:pt idx="2">
                  <c:v>Supermarket Type2</c:v>
                </c:pt>
                <c:pt idx="3">
                  <c:v>Supermarket Type1</c:v>
                </c:pt>
              </c:strCache>
            </c:strRef>
          </c:cat>
          <c:val>
            <c:numRef>
              <c:f>'Sheets Design'!$B$122:$B$125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16E-4D26-92BE-A54DDC7167F6}"/>
            </c:ext>
          </c:extLst>
        </c:ser>
        <c:dLbls>
          <c:showLegendKey val="0"/>
          <c:showVal val="0"/>
          <c:showCatName val="0"/>
          <c:showSerName val="0"/>
          <c:showPercent val="0"/>
          <c:showBubbleSize val="0"/>
        </c:dLbls>
        <c:gapWidth val="182"/>
        <c:axId val="1406914496"/>
        <c:axId val="1406916896"/>
      </c:barChart>
      <c:catAx>
        <c:axId val="140691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16896"/>
        <c:crosses val="autoZero"/>
        <c:auto val="1"/>
        <c:lblAlgn val="ctr"/>
        <c:lblOffset val="100"/>
        <c:noMultiLvlLbl val="0"/>
      </c:catAx>
      <c:valAx>
        <c:axId val="1406916896"/>
        <c:scaling>
          <c:orientation val="minMax"/>
        </c:scaling>
        <c:delete val="1"/>
        <c:axPos val="b"/>
        <c:numFmt formatCode="0" sourceLinked="1"/>
        <c:majorTickMark val="none"/>
        <c:minorTickMark val="none"/>
        <c:tickLblPos val="nextTo"/>
        <c:crossAx val="140691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935185185185175"/>
              <c:y val="0.1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0583333333333335"/>
              <c:y val="-0.1666666666666666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078657407407408"/>
          <c:y val="0.19753718285214347"/>
          <c:w val="0.65254722222222217"/>
          <c:h val="0.77072506561679788"/>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8D0-4BFB-B24B-DD97E002B290}"/>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28D0-4BFB-B24B-DD97E002B290}"/>
              </c:ext>
            </c:extLst>
          </c:dPt>
          <c:dLbls>
            <c:dLbl>
              <c:idx val="0"/>
              <c:layout>
                <c:manualLayout>
                  <c:x val="0.12935185185185175"/>
                  <c:y val="0.12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D0-4BFB-B24B-DD97E002B290}"/>
                </c:ext>
              </c:extLst>
            </c:dLbl>
            <c:dLbl>
              <c:idx val="1"/>
              <c:layout>
                <c:manualLayout>
                  <c:x val="-0.10583333333333335"/>
                  <c:y val="-0.1666666666666666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D0-4BFB-B24B-DD97E002B29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28D0-4BFB-B24B-DD97E002B29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Design'!$B$28:$B$29</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Design'!$A$30:$A$32</c:f>
              <c:strCache>
                <c:ptCount val="3"/>
                <c:pt idx="0">
                  <c:v>Tier 1</c:v>
                </c:pt>
                <c:pt idx="1">
                  <c:v>Tier 2</c:v>
                </c:pt>
                <c:pt idx="2">
                  <c:v>Tier 3</c:v>
                </c:pt>
              </c:strCache>
            </c:strRef>
          </c:cat>
          <c:val>
            <c:numRef>
              <c:f>'Sheets Design'!$B$30:$B$32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0BB-4613-A9EB-90175BA7B2DF}"/>
            </c:ext>
          </c:extLst>
        </c:ser>
        <c:ser>
          <c:idx val="1"/>
          <c:order val="1"/>
          <c:tx>
            <c:strRef>
              <c:f>'Sheets Design'!$C$28:$C$29</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Design'!$A$30:$A$32</c:f>
              <c:strCache>
                <c:ptCount val="3"/>
                <c:pt idx="0">
                  <c:v>Tier 1</c:v>
                </c:pt>
                <c:pt idx="1">
                  <c:v>Tier 2</c:v>
                </c:pt>
                <c:pt idx="2">
                  <c:v>Tier 3</c:v>
                </c:pt>
              </c:strCache>
            </c:strRef>
          </c:cat>
          <c:val>
            <c:numRef>
              <c:f>'Sheets Design'!$C$30:$C$32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0BB-4613-A9EB-90175BA7B2DF}"/>
            </c:ext>
          </c:extLst>
        </c:ser>
        <c:dLbls>
          <c:dLblPos val="outEnd"/>
          <c:showLegendKey val="0"/>
          <c:showVal val="1"/>
          <c:showCatName val="0"/>
          <c:showSerName val="0"/>
          <c:showPercent val="0"/>
          <c:showBubbleSize val="0"/>
        </c:dLbls>
        <c:gapWidth val="60"/>
        <c:axId val="1410433263"/>
        <c:axId val="1410433743"/>
      </c:barChart>
      <c:catAx>
        <c:axId val="141043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1410433743"/>
        <c:crosses val="autoZero"/>
        <c:auto val="1"/>
        <c:lblAlgn val="ctr"/>
        <c:lblOffset val="100"/>
        <c:noMultiLvlLbl val="0"/>
      </c:catAx>
      <c:valAx>
        <c:axId val="1410433743"/>
        <c:scaling>
          <c:orientation val="minMax"/>
        </c:scaling>
        <c:delete val="1"/>
        <c:axPos val="b"/>
        <c:numFmt formatCode="&quot;$&quot;0.0,&quot;K&quot;" sourceLinked="1"/>
        <c:majorTickMark val="none"/>
        <c:minorTickMark val="none"/>
        <c:tickLblPos val="nextTo"/>
        <c:crossAx val="1410433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Design'!$B$44:$B$59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AD1-426D-9C40-4A049DDD3C84}"/>
            </c:ext>
          </c:extLst>
        </c:ser>
        <c:dLbls>
          <c:showLegendKey val="0"/>
          <c:showVal val="0"/>
          <c:showCatName val="0"/>
          <c:showSerName val="0"/>
          <c:showPercent val="0"/>
          <c:showBubbleSize val="0"/>
        </c:dLbls>
        <c:gapWidth val="45"/>
        <c:axId val="152103583"/>
        <c:axId val="152104063"/>
      </c:barChart>
      <c:catAx>
        <c:axId val="15210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152104063"/>
        <c:crosses val="autoZero"/>
        <c:auto val="1"/>
        <c:lblAlgn val="ctr"/>
        <c:lblOffset val="100"/>
        <c:noMultiLvlLbl val="0"/>
      </c:catAx>
      <c:valAx>
        <c:axId val="152104063"/>
        <c:scaling>
          <c:orientation val="minMax"/>
        </c:scaling>
        <c:delete val="1"/>
        <c:axPos val="b"/>
        <c:numFmt formatCode="&quot;$&quot;0.0,&quot;K&quot;" sourceLinked="1"/>
        <c:majorTickMark val="none"/>
        <c:minorTickMark val="none"/>
        <c:tickLblPos val="nextTo"/>
        <c:crossAx val="1521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190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1.7690633993319348E-2"/>
              <c:y val="-0.23732323232323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5.0544668552340993E-3"/>
              <c:y val="-0.25656565656565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7.581700282851149E-3"/>
              <c:y val="-0.26297979797979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1.2636167138085295E-2"/>
              <c:y val="-0.26939393939393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1.7690633993319441E-2"/>
              <c:y val="-0.26297979797979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3.032680113140469E-2"/>
              <c:y val="-0.275808080808080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5.0544668552340993E-2"/>
              <c:y val="-0.346363636363636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4.5490201697106894E-2"/>
              <c:y val="-0.42974747474747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19050">
            <a:solidFill>
              <a:schemeClr val="tx1"/>
            </a:solidFill>
          </a:ln>
          <a:effectLst>
            <a:innerShdw dist="12700" dir="16200000">
              <a:schemeClr val="lt1">
                <a:alpha val="75000"/>
              </a:schemeClr>
            </a:innerShdw>
          </a:effectLst>
        </c:spPr>
        <c:dLbl>
          <c:idx val="0"/>
          <c:layout>
            <c:manualLayout>
              <c:x val="-3.7908501414255745E-2"/>
              <c:y val="-0.307878787878787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35417047244144E-2"/>
          <c:y val="8.0128787878787883E-2"/>
          <c:w val="0.92265412044515926"/>
          <c:h val="0.73574848484848487"/>
        </c:manualLayout>
      </c:layout>
      <c:areaChart>
        <c:grouping val="standard"/>
        <c:varyColors val="0"/>
        <c:ser>
          <c:idx val="0"/>
          <c:order val="0"/>
          <c:tx>
            <c:strRef>
              <c:f>'Sheets Design'!$B$63</c:f>
              <c:strCache>
                <c:ptCount val="1"/>
                <c:pt idx="0">
                  <c:v>Total</c:v>
                </c:pt>
              </c:strCache>
            </c:strRef>
          </c:tx>
          <c:spPr>
            <a:solidFill>
              <a:srgbClr val="FFD200">
                <a:alpha val="80000"/>
              </a:srgbClr>
            </a:solidFill>
            <a:ln w="190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8DF-4882-A3F6-A42550541CB0}"/>
              </c:ext>
            </c:extLst>
          </c:dPt>
          <c:dPt>
            <c:idx val="1"/>
            <c:bubble3D val="0"/>
            <c:extLst>
              <c:ext xmlns:c16="http://schemas.microsoft.com/office/drawing/2014/chart" uri="{C3380CC4-5D6E-409C-BE32-E72D297353CC}">
                <c16:uniqueId val="{00000002-C8DF-4882-A3F6-A42550541CB0}"/>
              </c:ext>
            </c:extLst>
          </c:dPt>
          <c:dPt>
            <c:idx val="2"/>
            <c:bubble3D val="0"/>
            <c:extLst>
              <c:ext xmlns:c16="http://schemas.microsoft.com/office/drawing/2014/chart" uri="{C3380CC4-5D6E-409C-BE32-E72D297353CC}">
                <c16:uniqueId val="{00000003-C8DF-4882-A3F6-A42550541CB0}"/>
              </c:ext>
            </c:extLst>
          </c:dPt>
          <c:dPt>
            <c:idx val="3"/>
            <c:bubble3D val="0"/>
            <c:extLst>
              <c:ext xmlns:c16="http://schemas.microsoft.com/office/drawing/2014/chart" uri="{C3380CC4-5D6E-409C-BE32-E72D297353CC}">
                <c16:uniqueId val="{00000004-C8DF-4882-A3F6-A42550541CB0}"/>
              </c:ext>
            </c:extLst>
          </c:dPt>
          <c:dPt>
            <c:idx val="4"/>
            <c:bubble3D val="0"/>
            <c:extLst>
              <c:ext xmlns:c16="http://schemas.microsoft.com/office/drawing/2014/chart" uri="{C3380CC4-5D6E-409C-BE32-E72D297353CC}">
                <c16:uniqueId val="{00000005-C8DF-4882-A3F6-A42550541CB0}"/>
              </c:ext>
            </c:extLst>
          </c:dPt>
          <c:dPt>
            <c:idx val="5"/>
            <c:bubble3D val="0"/>
            <c:extLst>
              <c:ext xmlns:c16="http://schemas.microsoft.com/office/drawing/2014/chart" uri="{C3380CC4-5D6E-409C-BE32-E72D297353CC}">
                <c16:uniqueId val="{00000006-C8DF-4882-A3F6-A42550541CB0}"/>
              </c:ext>
            </c:extLst>
          </c:dPt>
          <c:dPt>
            <c:idx val="6"/>
            <c:bubble3D val="0"/>
            <c:extLst>
              <c:ext xmlns:c16="http://schemas.microsoft.com/office/drawing/2014/chart" uri="{C3380CC4-5D6E-409C-BE32-E72D297353CC}">
                <c16:uniqueId val="{00000007-C8DF-4882-A3F6-A42550541CB0}"/>
              </c:ext>
            </c:extLst>
          </c:dPt>
          <c:dPt>
            <c:idx val="7"/>
            <c:bubble3D val="0"/>
            <c:extLst>
              <c:ext xmlns:c16="http://schemas.microsoft.com/office/drawing/2014/chart" uri="{C3380CC4-5D6E-409C-BE32-E72D297353CC}">
                <c16:uniqueId val="{00000008-C8DF-4882-A3F6-A42550541CB0}"/>
              </c:ext>
            </c:extLst>
          </c:dPt>
          <c:dPt>
            <c:idx val="8"/>
            <c:bubble3D val="0"/>
            <c:extLst>
              <c:ext xmlns:c16="http://schemas.microsoft.com/office/drawing/2014/chart" uri="{C3380CC4-5D6E-409C-BE32-E72D297353CC}">
                <c16:uniqueId val="{00000009-C8DF-4882-A3F6-A42550541CB0}"/>
              </c:ext>
            </c:extLst>
          </c:dPt>
          <c:dLbls>
            <c:dLbl>
              <c:idx val="0"/>
              <c:layout>
                <c:manualLayout>
                  <c:x val="1.7690633993319348E-2"/>
                  <c:y val="-0.23732323232323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DF-4882-A3F6-A42550541CB0}"/>
                </c:ext>
              </c:extLst>
            </c:dLbl>
            <c:dLbl>
              <c:idx val="1"/>
              <c:layout>
                <c:manualLayout>
                  <c:x val="5.0544668552340993E-3"/>
                  <c:y val="-0.256565656565656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DF-4882-A3F6-A42550541CB0}"/>
                </c:ext>
              </c:extLst>
            </c:dLbl>
            <c:dLbl>
              <c:idx val="2"/>
              <c:layout>
                <c:manualLayout>
                  <c:x val="-7.581700282851149E-3"/>
                  <c:y val="-0.26297979797979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DF-4882-A3F6-A42550541CB0}"/>
                </c:ext>
              </c:extLst>
            </c:dLbl>
            <c:dLbl>
              <c:idx val="3"/>
              <c:layout>
                <c:manualLayout>
                  <c:x val="-1.2636167138085295E-2"/>
                  <c:y val="-0.26939393939393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DF-4882-A3F6-A42550541CB0}"/>
                </c:ext>
              </c:extLst>
            </c:dLbl>
            <c:dLbl>
              <c:idx val="4"/>
              <c:layout>
                <c:manualLayout>
                  <c:x val="-1.7690633993319441E-2"/>
                  <c:y val="-0.26297979797979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DF-4882-A3F6-A42550541CB0}"/>
                </c:ext>
              </c:extLst>
            </c:dLbl>
            <c:dLbl>
              <c:idx val="5"/>
              <c:layout>
                <c:manualLayout>
                  <c:x val="-3.032680113140469E-2"/>
                  <c:y val="-0.275808080808080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DF-4882-A3F6-A42550541CB0}"/>
                </c:ext>
              </c:extLst>
            </c:dLbl>
            <c:dLbl>
              <c:idx val="6"/>
              <c:layout>
                <c:manualLayout>
                  <c:x val="-5.0544668552340993E-2"/>
                  <c:y val="-0.346363636363636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DF-4882-A3F6-A42550541CB0}"/>
                </c:ext>
              </c:extLst>
            </c:dLbl>
            <c:dLbl>
              <c:idx val="7"/>
              <c:layout>
                <c:manualLayout>
                  <c:x val="-4.5490201697106894E-2"/>
                  <c:y val="-0.42974747474747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DF-4882-A3F6-A42550541CB0}"/>
                </c:ext>
              </c:extLst>
            </c:dLbl>
            <c:dLbl>
              <c:idx val="8"/>
              <c:layout>
                <c:manualLayout>
                  <c:x val="-3.7908501414255745E-2"/>
                  <c:y val="-0.30787878787878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DF-4882-A3F6-A42550541C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Design'!$A$64:$A$72</c:f>
              <c:strCache>
                <c:ptCount val="9"/>
                <c:pt idx="0">
                  <c:v>2011</c:v>
                </c:pt>
                <c:pt idx="1">
                  <c:v>2012</c:v>
                </c:pt>
                <c:pt idx="2">
                  <c:v>2014</c:v>
                </c:pt>
                <c:pt idx="3">
                  <c:v>2015</c:v>
                </c:pt>
                <c:pt idx="4">
                  <c:v>2016</c:v>
                </c:pt>
                <c:pt idx="5">
                  <c:v>2017</c:v>
                </c:pt>
                <c:pt idx="6">
                  <c:v>2018</c:v>
                </c:pt>
                <c:pt idx="7">
                  <c:v>2020</c:v>
                </c:pt>
                <c:pt idx="8">
                  <c:v>2022</c:v>
                </c:pt>
              </c:strCache>
            </c:strRef>
          </c:cat>
          <c:val>
            <c:numRef>
              <c:f>'Sheets Design'!$B$64:$B$72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8DF-4882-A3F6-A42550541CB0}"/>
            </c:ext>
          </c:extLst>
        </c:ser>
        <c:dLbls>
          <c:showLegendKey val="0"/>
          <c:showVal val="0"/>
          <c:showCatName val="0"/>
          <c:showSerName val="0"/>
          <c:showPercent val="0"/>
          <c:showBubbleSize val="0"/>
        </c:dLbls>
        <c:dropLines>
          <c:spPr>
            <a:ln w="12700" cap="flat" cmpd="sng" algn="ctr">
              <a:solidFill>
                <a:schemeClr val="bg1">
                  <a:lumMod val="65000"/>
                  <a:alpha val="40000"/>
                </a:schemeClr>
              </a:solidFill>
              <a:round/>
            </a:ln>
            <a:effectLst/>
          </c:spPr>
        </c:dropLines>
        <c:axId val="242854063"/>
        <c:axId val="242850703"/>
      </c:areaChart>
      <c:catAx>
        <c:axId val="2428540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242850703"/>
        <c:crosses val="autoZero"/>
        <c:auto val="1"/>
        <c:lblAlgn val="ctr"/>
        <c:lblOffset val="100"/>
        <c:noMultiLvlLbl val="0"/>
      </c:catAx>
      <c:valAx>
        <c:axId val="2428507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242854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531380343784648"/>
              <c:y val="-4.73469402971859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0870292336960625"/>
              <c:y val="5.91836753714824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7656901718923296E-2"/>
              <c:y val="-0.18346939365159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52263782762461"/>
          <c:y val="0.17166667754030782"/>
          <c:w val="0.66896146887723862"/>
          <c:h val="0.81572347150003111"/>
        </c:manualLayout>
      </c:layout>
      <c:doughnutChart>
        <c:varyColors val="1"/>
        <c:ser>
          <c:idx val="0"/>
          <c:order val="0"/>
          <c:tx>
            <c:strRef>
              <c:f>'Sheets Design'!$B$81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9A8-4641-AD18-7EEA8AF0BB7B}"/>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E9A8-4641-AD18-7EEA8AF0BB7B}"/>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E9A8-4641-AD18-7EEA8AF0BB7B}"/>
              </c:ext>
            </c:extLst>
          </c:dPt>
          <c:dLbls>
            <c:dLbl>
              <c:idx val="0"/>
              <c:layout>
                <c:manualLayout>
                  <c:x val="0.15531380343784648"/>
                  <c:y val="-4.734694029718593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A8-4641-AD18-7EEA8AF0BB7B}"/>
                </c:ext>
              </c:extLst>
            </c:dLbl>
            <c:dLbl>
              <c:idx val="1"/>
              <c:layout>
                <c:manualLayout>
                  <c:x val="0.20870292336960625"/>
                  <c:y val="5.9183675371482416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A8-4641-AD18-7EEA8AF0BB7B}"/>
                </c:ext>
              </c:extLst>
            </c:dLbl>
            <c:dLbl>
              <c:idx val="2"/>
              <c:layout>
                <c:manualLayout>
                  <c:x val="-7.7656901718923296E-2"/>
                  <c:y val="-0.1834693936515955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A8-4641-AD18-7EEA8AF0BB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Design'!$A$82:$A$84</c:f>
              <c:strCache>
                <c:ptCount val="3"/>
                <c:pt idx="0">
                  <c:v>High</c:v>
                </c:pt>
                <c:pt idx="1">
                  <c:v>Medium</c:v>
                </c:pt>
                <c:pt idx="2">
                  <c:v>Small</c:v>
                </c:pt>
              </c:strCache>
            </c:strRef>
          </c:cat>
          <c:val>
            <c:numRef>
              <c:f>'Sheets Design'!$B$82:$B$84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9A8-4641-AD18-7EEA8AF0BB7B}"/>
            </c:ext>
          </c:extLst>
        </c:ser>
        <c:dLbls>
          <c:showLegendKey val="0"/>
          <c:showVal val="1"/>
          <c:showCatName val="0"/>
          <c:showSerName val="0"/>
          <c:showPercent val="0"/>
          <c:showBubbleSize val="0"/>
          <c:showLeaderLines val="0"/>
        </c:dLbls>
        <c:firstSliceAng val="0"/>
        <c:holeSize val="7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2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42595954356845"/>
          <c:y val="3.7791400819678057E-2"/>
          <c:w val="0.49796583246887965"/>
          <c:h val="0.9028221121779707"/>
        </c:manualLayout>
      </c:layout>
      <c:barChart>
        <c:barDir val="bar"/>
        <c:grouping val="clustered"/>
        <c:varyColors val="0"/>
        <c:ser>
          <c:idx val="0"/>
          <c:order val="0"/>
          <c:tx>
            <c:strRef>
              <c:f>'Sheets Design'!$B$104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03E-4C26-AC3F-31E6BB21E48B}"/>
            </c:ext>
          </c:extLst>
        </c:ser>
        <c:dLbls>
          <c:showLegendKey val="0"/>
          <c:showVal val="0"/>
          <c:showCatName val="0"/>
          <c:showSerName val="0"/>
          <c:showPercent val="0"/>
          <c:showBubbleSize val="0"/>
        </c:dLbls>
        <c:gapWidth val="51"/>
        <c:axId val="1406909696"/>
        <c:axId val="1406911136"/>
      </c:barChart>
      <c:catAx>
        <c:axId val="140690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406911136"/>
        <c:crosses val="autoZero"/>
        <c:auto val="1"/>
        <c:lblAlgn val="ctr"/>
        <c:lblOffset val="100"/>
        <c:noMultiLvlLbl val="0"/>
      </c:catAx>
      <c:valAx>
        <c:axId val="1406911136"/>
        <c:scaling>
          <c:orientation val="minMax"/>
        </c:scaling>
        <c:delete val="1"/>
        <c:axPos val="b"/>
        <c:numFmt formatCode="&quot;$&quot;0.0,&quot;K&quot;" sourceLinked="1"/>
        <c:majorTickMark val="none"/>
        <c:minorTickMark val="none"/>
        <c:tickLblPos val="nextTo"/>
        <c:crossAx val="140690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Design'!$A$113:$A$116</c:f>
              <c:strCache>
                <c:ptCount val="4"/>
                <c:pt idx="0">
                  <c:v>Grocery Store</c:v>
                </c:pt>
                <c:pt idx="1">
                  <c:v>Supermarket Type3</c:v>
                </c:pt>
                <c:pt idx="2">
                  <c:v>Supermarket Type2</c:v>
                </c:pt>
                <c:pt idx="3">
                  <c:v>Supermarket Type1</c:v>
                </c:pt>
              </c:strCache>
            </c:strRef>
          </c:cat>
          <c:val>
            <c:numRef>
              <c:f>'Sheets Design'!$B$113:$B$116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6D6-432E-94A9-C4643E791E27}"/>
            </c:ext>
          </c:extLst>
        </c:ser>
        <c:dLbls>
          <c:dLblPos val="outEnd"/>
          <c:showLegendKey val="0"/>
          <c:showVal val="1"/>
          <c:showCatName val="0"/>
          <c:showSerName val="0"/>
          <c:showPercent val="0"/>
          <c:showBubbleSize val="0"/>
        </c:dLbls>
        <c:gapWidth val="50"/>
        <c:axId val="1406899136"/>
        <c:axId val="1406893856"/>
      </c:barChart>
      <c:catAx>
        <c:axId val="1406899136"/>
        <c:scaling>
          <c:orientation val="minMax"/>
        </c:scaling>
        <c:delete val="1"/>
        <c:axPos val="l"/>
        <c:numFmt formatCode="General" sourceLinked="1"/>
        <c:majorTickMark val="none"/>
        <c:minorTickMark val="none"/>
        <c:tickLblPos val="nextTo"/>
        <c:crossAx val="1406893856"/>
        <c:crosses val="autoZero"/>
        <c:auto val="1"/>
        <c:lblAlgn val="ctr"/>
        <c:lblOffset val="100"/>
        <c:noMultiLvlLbl val="0"/>
      </c:catAx>
      <c:valAx>
        <c:axId val="1406893856"/>
        <c:scaling>
          <c:orientation val="minMax"/>
        </c:scaling>
        <c:delete val="1"/>
        <c:axPos val="b"/>
        <c:numFmt formatCode="\$0" sourceLinked="1"/>
        <c:majorTickMark val="none"/>
        <c:minorTickMark val="none"/>
        <c:tickLblPos val="nextTo"/>
        <c:crossAx val="140689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Design'!$A$122:$A$125</c:f>
              <c:strCache>
                <c:ptCount val="4"/>
                <c:pt idx="0">
                  <c:v>Grocery Store</c:v>
                </c:pt>
                <c:pt idx="1">
                  <c:v>Supermarket Type3</c:v>
                </c:pt>
                <c:pt idx="2">
                  <c:v>Supermarket Type2</c:v>
                </c:pt>
                <c:pt idx="3">
                  <c:v>Supermarket Type1</c:v>
                </c:pt>
              </c:strCache>
            </c:strRef>
          </c:cat>
          <c:val>
            <c:numRef>
              <c:f>'Sheets Design'!$B$122:$B$125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F92-46AE-ACBF-15609B8F0376}"/>
            </c:ext>
          </c:extLst>
        </c:ser>
        <c:dLbls>
          <c:showLegendKey val="0"/>
          <c:showVal val="0"/>
          <c:showCatName val="0"/>
          <c:showSerName val="0"/>
          <c:showPercent val="0"/>
          <c:showBubbleSize val="0"/>
        </c:dLbls>
        <c:gapWidth val="60"/>
        <c:axId val="1406914496"/>
        <c:axId val="1406916896"/>
      </c:barChart>
      <c:catAx>
        <c:axId val="1406914496"/>
        <c:scaling>
          <c:orientation val="minMax"/>
        </c:scaling>
        <c:delete val="1"/>
        <c:axPos val="l"/>
        <c:numFmt formatCode="General" sourceLinked="1"/>
        <c:majorTickMark val="none"/>
        <c:minorTickMark val="none"/>
        <c:tickLblPos val="nextTo"/>
        <c:crossAx val="1406916896"/>
        <c:crosses val="autoZero"/>
        <c:auto val="1"/>
        <c:lblAlgn val="ctr"/>
        <c:lblOffset val="100"/>
        <c:noMultiLvlLbl val="0"/>
      </c:catAx>
      <c:valAx>
        <c:axId val="1406916896"/>
        <c:scaling>
          <c:orientation val="minMax"/>
        </c:scaling>
        <c:delete val="1"/>
        <c:axPos val="b"/>
        <c:numFmt formatCode="0" sourceLinked="1"/>
        <c:majorTickMark val="none"/>
        <c:minorTickMark val="none"/>
        <c:tickLblPos val="nextTo"/>
        <c:crossAx val="140691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BD0B891-A4F4-43C0-9AD9-D3A9FC6CAD64}">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6BD0B891-A4F4-43C0-9AD9-D3A9FC6CAD64}">
          <cx:tx>
            <cx:txData>
              <cx:f>_xlchart.v2.7</cx:f>
              <cx:v>Sales</cx:v>
            </cx:txData>
          </cx:tx>
          <cx:dataPt idx="0">
            <cx:spPr>
              <a:solidFill>
                <a:srgbClr val="FFC000">
                  <a:lumMod val="75000"/>
                </a:srgbClr>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txPr>
          <a:bodyPr spcFirstLastPara="1" vertOverflow="ellipsis" horzOverflow="overflow" wrap="square" lIns="0" tIns="0" rIns="0" bIns="0" anchor="ctr" anchorCtr="1"/>
          <a:lstStyle/>
          <a:p>
            <a:pPr algn="ctr" rtl="0">
              <a:defRPr>
                <a:solidFill>
                  <a:schemeClr val="bg2">
                    <a:lumMod val="2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bg2">
                  <a:lumMod val="2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0</xdr:row>
      <xdr:rowOff>190501</xdr:rowOff>
    </xdr:from>
    <xdr:to>
      <xdr:col>7</xdr:col>
      <xdr:colOff>387350</xdr:colOff>
      <xdr:row>7</xdr:row>
      <xdr:rowOff>25401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1CC34B7-D3B4-379B-A6F7-CECE054F216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250739" y="190501"/>
              <a:ext cx="1815097" cy="1238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322384</xdr:colOff>
      <xdr:row>11</xdr:row>
      <xdr:rowOff>97692</xdr:rowOff>
    </xdr:from>
    <xdr:to>
      <xdr:col>5</xdr:col>
      <xdr:colOff>263769</xdr:colOff>
      <xdr:row>21</xdr:row>
      <xdr:rowOff>18561</xdr:rowOff>
    </xdr:to>
    <xdr:graphicFrame macro="">
      <xdr:nvGraphicFramePr>
        <xdr:cNvPr id="3" name="Chart 2">
          <a:extLst>
            <a:ext uri="{FF2B5EF4-FFF2-40B4-BE49-F238E27FC236}">
              <a16:creationId xmlns:a16="http://schemas.microsoft.com/office/drawing/2014/main" id="{6B56FED4-C69F-EED6-90C1-F34E5A7F3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351691</xdr:colOff>
      <xdr:row>26</xdr:row>
      <xdr:rowOff>97691</xdr:rowOff>
    </xdr:from>
    <xdr:to>
      <xdr:col>8</xdr:col>
      <xdr:colOff>366345</xdr:colOff>
      <xdr:row>35</xdr:row>
      <xdr:rowOff>155330</xdr:rowOff>
    </xdr:to>
    <xdr:graphicFrame macro="">
      <xdr:nvGraphicFramePr>
        <xdr:cNvPr id="5" name="Chart 4">
          <a:extLst>
            <a:ext uri="{FF2B5EF4-FFF2-40B4-BE49-F238E27FC236}">
              <a16:creationId xmlns:a16="http://schemas.microsoft.com/office/drawing/2014/main" id="{AC57A73D-ED14-1958-6D01-AC00368AD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244232</xdr:colOff>
      <xdr:row>42</xdr:row>
      <xdr:rowOff>157284</xdr:rowOff>
    </xdr:from>
    <xdr:to>
      <xdr:col>8</xdr:col>
      <xdr:colOff>312617</xdr:colOff>
      <xdr:row>56</xdr:row>
      <xdr:rowOff>155330</xdr:rowOff>
    </xdr:to>
    <xdr:graphicFrame macro="">
      <xdr:nvGraphicFramePr>
        <xdr:cNvPr id="6" name="Chart 5">
          <a:extLst>
            <a:ext uri="{FF2B5EF4-FFF2-40B4-BE49-F238E27FC236}">
              <a16:creationId xmlns:a16="http://schemas.microsoft.com/office/drawing/2014/main" id="{60093DC2-B170-540C-72CA-24E4A7501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2021138</xdr:colOff>
      <xdr:row>62</xdr:row>
      <xdr:rowOff>57150</xdr:rowOff>
    </xdr:from>
    <xdr:to>
      <xdr:col>8</xdr:col>
      <xdr:colOff>468730</xdr:colOff>
      <xdr:row>75</xdr:row>
      <xdr:rowOff>193508</xdr:rowOff>
    </xdr:to>
    <xdr:graphicFrame macro="">
      <xdr:nvGraphicFramePr>
        <xdr:cNvPr id="7" name="Chart 6">
          <a:extLst>
            <a:ext uri="{FF2B5EF4-FFF2-40B4-BE49-F238E27FC236}">
              <a16:creationId xmlns:a16="http://schemas.microsoft.com/office/drawing/2014/main" id="{E9124E20-FC4C-1992-DB6A-70240FCF8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1106237</xdr:colOff>
      <xdr:row>80</xdr:row>
      <xdr:rowOff>50132</xdr:rowOff>
    </xdr:from>
    <xdr:to>
      <xdr:col>3</xdr:col>
      <xdr:colOff>1036052</xdr:colOff>
      <xdr:row>87</xdr:row>
      <xdr:rowOff>185153</xdr:rowOff>
    </xdr:to>
    <xdr:graphicFrame macro="">
      <xdr:nvGraphicFramePr>
        <xdr:cNvPr id="4" name="Chart 3">
          <a:extLst>
            <a:ext uri="{FF2B5EF4-FFF2-40B4-BE49-F238E27FC236}">
              <a16:creationId xmlns:a16="http://schemas.microsoft.com/office/drawing/2014/main" id="{A3A6EFDD-A7B6-59DE-0A00-D3610B318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250659</xdr:colOff>
      <xdr:row>91</xdr:row>
      <xdr:rowOff>150395</xdr:rowOff>
    </xdr:from>
    <xdr:to>
      <xdr:col>8</xdr:col>
      <xdr:colOff>560637</xdr:colOff>
      <xdr:row>99</xdr:row>
      <xdr:rowOff>130845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DDD38BE-56DC-5BE2-1C22-6EFB962636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09014" y="18398290"/>
              <a:ext cx="2290176" cy="1584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200526</xdr:colOff>
      <xdr:row>103</xdr:row>
      <xdr:rowOff>25065</xdr:rowOff>
    </xdr:from>
    <xdr:to>
      <xdr:col>3</xdr:col>
      <xdr:colOff>334211</xdr:colOff>
      <xdr:row>108</xdr:row>
      <xdr:rowOff>175461</xdr:rowOff>
    </xdr:to>
    <xdr:graphicFrame macro="">
      <xdr:nvGraphicFramePr>
        <xdr:cNvPr id="9" name="Chart 8">
          <a:extLst>
            <a:ext uri="{FF2B5EF4-FFF2-40B4-BE49-F238E27FC236}">
              <a16:creationId xmlns:a16="http://schemas.microsoft.com/office/drawing/2014/main" id="{CF0E01A5-F212-140F-5F0D-4AA4FAA3A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927435</xdr:colOff>
      <xdr:row>111</xdr:row>
      <xdr:rowOff>16712</xdr:rowOff>
    </xdr:from>
    <xdr:to>
      <xdr:col>3</xdr:col>
      <xdr:colOff>977567</xdr:colOff>
      <xdr:row>117</xdr:row>
      <xdr:rowOff>25066</xdr:rowOff>
    </xdr:to>
    <xdr:graphicFrame macro="">
      <xdr:nvGraphicFramePr>
        <xdr:cNvPr id="10" name="Chart 9">
          <a:extLst>
            <a:ext uri="{FF2B5EF4-FFF2-40B4-BE49-F238E27FC236}">
              <a16:creationId xmlns:a16="http://schemas.microsoft.com/office/drawing/2014/main" id="{9790B7F8-6BA9-5252-597A-C0ED2352B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584869</xdr:colOff>
      <xdr:row>120</xdr:row>
      <xdr:rowOff>8356</xdr:rowOff>
    </xdr:from>
    <xdr:to>
      <xdr:col>3</xdr:col>
      <xdr:colOff>660066</xdr:colOff>
      <xdr:row>126</xdr:row>
      <xdr:rowOff>116974</xdr:rowOff>
    </xdr:to>
    <xdr:graphicFrame macro="">
      <xdr:nvGraphicFramePr>
        <xdr:cNvPr id="11" name="Chart 10">
          <a:extLst>
            <a:ext uri="{FF2B5EF4-FFF2-40B4-BE49-F238E27FC236}">
              <a16:creationId xmlns:a16="http://schemas.microsoft.com/office/drawing/2014/main" id="{B9BF4FAA-5798-657E-2D7D-609FE6229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254000</xdr:colOff>
      <xdr:row>0</xdr:row>
      <xdr:rowOff>182145</xdr:rowOff>
    </xdr:from>
    <xdr:to>
      <xdr:col>11</xdr:col>
      <xdr:colOff>102603</xdr:colOff>
      <xdr:row>9</xdr:row>
      <xdr:rowOff>175459</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7F1C4543-D8C6-8519-97D7-FA032DC544C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879724" y="182145"/>
              <a:ext cx="1828800" cy="1798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2340</xdr:colOff>
      <xdr:row>0</xdr:row>
      <xdr:rowOff>181142</xdr:rowOff>
    </xdr:from>
    <xdr:to>
      <xdr:col>14</xdr:col>
      <xdr:colOff>511009</xdr:colOff>
      <xdr:row>9</xdr:row>
      <xdr:rowOff>192171</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0D6AB384-FA01-BC38-8C41-FA95A3783AC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268327" y="181142"/>
              <a:ext cx="1828800" cy="1815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560824</xdr:colOff>
      <xdr:row>0</xdr:row>
      <xdr:rowOff>65690</xdr:rowOff>
    </xdr:from>
    <xdr:to>
      <xdr:col>24</xdr:col>
      <xdr:colOff>173182</xdr:colOff>
      <xdr:row>41</xdr:row>
      <xdr:rowOff>153275</xdr:rowOff>
    </xdr:to>
    <xdr:sp macro="" textlink="">
      <xdr:nvSpPr>
        <xdr:cNvPr id="3" name="Rectangle 2">
          <a:extLst>
            <a:ext uri="{FF2B5EF4-FFF2-40B4-BE49-F238E27FC236}">
              <a16:creationId xmlns:a16="http://schemas.microsoft.com/office/drawing/2014/main" id="{9FB614EC-374A-51F2-5CDC-40B07A1D09E1}"/>
            </a:ext>
          </a:extLst>
        </xdr:cNvPr>
        <xdr:cNvSpPr/>
      </xdr:nvSpPr>
      <xdr:spPr>
        <a:xfrm>
          <a:off x="560824" y="65690"/>
          <a:ext cx="15545085" cy="8385880"/>
        </a:xfrm>
        <a:prstGeom prst="rect">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4927</xdr:colOff>
      <xdr:row>1</xdr:row>
      <xdr:rowOff>63072</xdr:rowOff>
    </xdr:from>
    <xdr:to>
      <xdr:col>4</xdr:col>
      <xdr:colOff>129885</xdr:colOff>
      <xdr:row>41</xdr:row>
      <xdr:rowOff>44184</xdr:rowOff>
    </xdr:to>
    <xdr:sp macro="" textlink="">
      <xdr:nvSpPr>
        <xdr:cNvPr id="4" name="Rectangle: Top Corners Rounded 3">
          <a:extLst>
            <a:ext uri="{FF2B5EF4-FFF2-40B4-BE49-F238E27FC236}">
              <a16:creationId xmlns:a16="http://schemas.microsoft.com/office/drawing/2014/main" id="{AD6C6F7C-3B8F-5BEF-F993-F04911F34E8E}"/>
            </a:ext>
          </a:extLst>
        </xdr:cNvPr>
        <xdr:cNvSpPr/>
      </xdr:nvSpPr>
      <xdr:spPr>
        <a:xfrm rot="5400000">
          <a:off x="-2151319" y="3069765"/>
          <a:ext cx="7725844" cy="2097993"/>
        </a:xfrm>
        <a:prstGeom prst="round2SameRect">
          <a:avLst>
            <a:gd name="adj1" fmla="val 1502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98535</xdr:colOff>
      <xdr:row>2</xdr:row>
      <xdr:rowOff>0</xdr:rowOff>
    </xdr:from>
    <xdr:to>
      <xdr:col>3</xdr:col>
      <xdr:colOff>547414</xdr:colOff>
      <xdr:row>4</xdr:row>
      <xdr:rowOff>43792</xdr:rowOff>
    </xdr:to>
    <xdr:sp macro="" textlink="">
      <xdr:nvSpPr>
        <xdr:cNvPr id="5" name="TextBox 4">
          <a:extLst>
            <a:ext uri="{FF2B5EF4-FFF2-40B4-BE49-F238E27FC236}">
              <a16:creationId xmlns:a16="http://schemas.microsoft.com/office/drawing/2014/main" id="{A8CBAD2D-39F9-1E52-9357-4F901CBE4D5A}"/>
            </a:ext>
          </a:extLst>
        </xdr:cNvPr>
        <xdr:cNvSpPr txBox="1"/>
      </xdr:nvSpPr>
      <xdr:spPr>
        <a:xfrm>
          <a:off x="755432" y="394138"/>
          <a:ext cx="1762672" cy="437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u="none" baseline="0">
              <a:latin typeface="Segoe UI Black" panose="020B0A02040204020203" pitchFamily="34" charset="0"/>
              <a:ea typeface="Segoe UI Black" panose="020B0A02040204020203" pitchFamily="34" charset="0"/>
            </a:rPr>
            <a:t>blink</a:t>
          </a:r>
          <a:r>
            <a:rPr lang="en-IN" sz="3600" u="none" baseline="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131379</xdr:colOff>
      <xdr:row>4</xdr:row>
      <xdr:rowOff>0</xdr:rowOff>
    </xdr:from>
    <xdr:to>
      <xdr:col>3</xdr:col>
      <xdr:colOff>547414</xdr:colOff>
      <xdr:row>5</xdr:row>
      <xdr:rowOff>76637</xdr:rowOff>
    </xdr:to>
    <xdr:sp macro="" textlink="">
      <xdr:nvSpPr>
        <xdr:cNvPr id="6" name="TextBox 5">
          <a:extLst>
            <a:ext uri="{FF2B5EF4-FFF2-40B4-BE49-F238E27FC236}">
              <a16:creationId xmlns:a16="http://schemas.microsoft.com/office/drawing/2014/main" id="{EFFE805A-CCBC-45C7-A942-F81710535465}"/>
            </a:ext>
          </a:extLst>
        </xdr:cNvPr>
        <xdr:cNvSpPr txBox="1"/>
      </xdr:nvSpPr>
      <xdr:spPr>
        <a:xfrm>
          <a:off x="788276" y="788276"/>
          <a:ext cx="1729828" cy="27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u="none" baseline="0">
              <a:latin typeface="Aptos Display" panose="020B0004020202020204" pitchFamily="34" charset="0"/>
              <a:ea typeface="Segoe UI Black" panose="020B0A02040204020203" pitchFamily="34" charset="0"/>
            </a:rPr>
            <a:t>India's last Minute App</a:t>
          </a:r>
          <a:endParaRPr lang="en-IN" sz="1200" b="1" u="none" baseline="0">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207140</xdr:colOff>
      <xdr:row>1</xdr:row>
      <xdr:rowOff>81673</xdr:rowOff>
    </xdr:from>
    <xdr:to>
      <xdr:col>13</xdr:col>
      <xdr:colOff>54742</xdr:colOff>
      <xdr:row>11</xdr:row>
      <xdr:rowOff>182012</xdr:rowOff>
    </xdr:to>
    <xdr:grpSp>
      <xdr:nvGrpSpPr>
        <xdr:cNvPr id="11" name="Group 10">
          <a:extLst>
            <a:ext uri="{FF2B5EF4-FFF2-40B4-BE49-F238E27FC236}">
              <a16:creationId xmlns:a16="http://schemas.microsoft.com/office/drawing/2014/main" id="{CA9607F7-B9BC-EEE4-25E9-AF4645CF5628}"/>
            </a:ext>
          </a:extLst>
        </xdr:cNvPr>
        <xdr:cNvGrpSpPr/>
      </xdr:nvGrpSpPr>
      <xdr:grpSpPr>
        <a:xfrm>
          <a:off x="2855225" y="284333"/>
          <a:ext cx="5805794" cy="2126934"/>
          <a:chOff x="2834727" y="278742"/>
          <a:chExt cx="5435835" cy="2071029"/>
        </a:xfrm>
      </xdr:grpSpPr>
      <xdr:sp macro="" textlink="">
        <xdr:nvSpPr>
          <xdr:cNvPr id="7" name="Rectangle: Rounded Corners 6">
            <a:extLst>
              <a:ext uri="{FF2B5EF4-FFF2-40B4-BE49-F238E27FC236}">
                <a16:creationId xmlns:a16="http://schemas.microsoft.com/office/drawing/2014/main" id="{AD6691F2-42A2-F1E3-836E-0F88394AC2B9}"/>
              </a:ext>
            </a:extLst>
          </xdr:cNvPr>
          <xdr:cNvSpPr/>
        </xdr:nvSpPr>
        <xdr:spPr>
          <a:xfrm>
            <a:off x="2834727" y="278742"/>
            <a:ext cx="2556000" cy="900000"/>
          </a:xfrm>
          <a:prstGeom prst="roundRect">
            <a:avLst/>
          </a:prstGeom>
          <a:gradFill>
            <a:gsLst>
              <a:gs pos="0">
                <a:srgbClr val="FFD200"/>
              </a:gs>
              <a:gs pos="99734">
                <a:srgbClr val="AAD190"/>
              </a:gs>
              <a:gs pos="99468">
                <a:srgbClr val="AAD191"/>
              </a:gs>
              <a:gs pos="98937">
                <a:schemeClr val="accent6">
                  <a:lumMod val="50000"/>
                  <a:alpha val="55000"/>
                </a:schemeClr>
              </a:gs>
              <a:gs pos="49000">
                <a:schemeClr val="accent6">
                  <a:lumMod val="75000"/>
                  <a:alpha val="48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B2963CB-113B-4E27-9310-7C2F75D9BD87}"/>
              </a:ext>
            </a:extLst>
          </xdr:cNvPr>
          <xdr:cNvSpPr/>
        </xdr:nvSpPr>
        <xdr:spPr>
          <a:xfrm>
            <a:off x="5714562" y="278742"/>
            <a:ext cx="2556000" cy="9000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4C5D696-A5FA-4D88-9B48-2B7380BA25A7}"/>
              </a:ext>
            </a:extLst>
          </xdr:cNvPr>
          <xdr:cNvSpPr/>
        </xdr:nvSpPr>
        <xdr:spPr>
          <a:xfrm>
            <a:off x="2834727" y="1449771"/>
            <a:ext cx="2556000" cy="9000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D9EED10-83C9-4FA1-BC97-42A6C37EDEDC}"/>
              </a:ext>
            </a:extLst>
          </xdr:cNvPr>
          <xdr:cNvSpPr/>
        </xdr:nvSpPr>
        <xdr:spPr>
          <a:xfrm>
            <a:off x="5714562" y="1449771"/>
            <a:ext cx="2556000" cy="900000"/>
          </a:xfrm>
          <a:prstGeom prst="roundRect">
            <a:avLst>
              <a:gd name="adj" fmla="val 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328448</xdr:colOff>
      <xdr:row>1</xdr:row>
      <xdr:rowOff>155793</xdr:rowOff>
    </xdr:from>
    <xdr:to>
      <xdr:col>6</xdr:col>
      <xdr:colOff>251810</xdr:colOff>
      <xdr:row>3</xdr:row>
      <xdr:rowOff>122948</xdr:rowOff>
    </xdr:to>
    <xdr:sp macro="" textlink="'Sheets Design'!$A$7">
      <xdr:nvSpPr>
        <xdr:cNvPr id="12" name="TextBox 11">
          <a:extLst>
            <a:ext uri="{FF2B5EF4-FFF2-40B4-BE49-F238E27FC236}">
              <a16:creationId xmlns:a16="http://schemas.microsoft.com/office/drawing/2014/main" id="{97BE34EF-CC31-6771-000B-1461D59F9D1D}"/>
            </a:ext>
          </a:extLst>
        </xdr:cNvPr>
        <xdr:cNvSpPr txBox="1"/>
      </xdr:nvSpPr>
      <xdr:spPr>
        <a:xfrm>
          <a:off x="2956034" y="352862"/>
          <a:ext cx="1237155"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76D2BC-A313-40B1-B253-531A4AB635E5}"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lgn="ctr"/>
            <a:t>$1.20M</a:t>
          </a:fld>
          <a:endParaRPr lang="en-IN" sz="20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editAs="oneCell">
    <xdr:from>
      <xdr:col>1</xdr:col>
      <xdr:colOff>57052</xdr:colOff>
      <xdr:row>7</xdr:row>
      <xdr:rowOff>95584</xdr:rowOff>
    </xdr:from>
    <xdr:to>
      <xdr:col>4</xdr:col>
      <xdr:colOff>56697</xdr:colOff>
      <xdr:row>14</xdr:row>
      <xdr:rowOff>22679</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179E6965-4266-4604-AA5C-26492D04503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719073" y="1514201"/>
              <a:ext cx="1985709" cy="1359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372243</xdr:colOff>
      <xdr:row>3</xdr:row>
      <xdr:rowOff>87587</xdr:rowOff>
    </xdr:from>
    <xdr:to>
      <xdr:col>6</xdr:col>
      <xdr:colOff>262760</xdr:colOff>
      <xdr:row>4</xdr:row>
      <xdr:rowOff>175173</xdr:rowOff>
    </xdr:to>
    <xdr:sp macro="" textlink="">
      <xdr:nvSpPr>
        <xdr:cNvPr id="15" name="TextBox 14">
          <a:extLst>
            <a:ext uri="{FF2B5EF4-FFF2-40B4-BE49-F238E27FC236}">
              <a16:creationId xmlns:a16="http://schemas.microsoft.com/office/drawing/2014/main" id="{3DC60F46-5D05-108B-DC6F-10F40D735FB3}"/>
            </a:ext>
          </a:extLst>
        </xdr:cNvPr>
        <xdr:cNvSpPr txBox="1"/>
      </xdr:nvSpPr>
      <xdr:spPr>
        <a:xfrm>
          <a:off x="2999829" y="678794"/>
          <a:ext cx="1204310"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 SALES</a:t>
          </a:r>
        </a:p>
      </xdr:txBody>
    </xdr:sp>
    <xdr:clientData/>
  </xdr:twoCellAnchor>
  <xdr:twoCellAnchor>
    <xdr:from>
      <xdr:col>8</xdr:col>
      <xdr:colOff>415158</xdr:colOff>
      <xdr:row>1</xdr:row>
      <xdr:rowOff>155793</xdr:rowOff>
    </xdr:from>
    <xdr:to>
      <xdr:col>10</xdr:col>
      <xdr:colOff>338519</xdr:colOff>
      <xdr:row>3</xdr:row>
      <xdr:rowOff>122948</xdr:rowOff>
    </xdr:to>
    <xdr:sp macro="" textlink="'Sheets Design'!B7">
      <xdr:nvSpPr>
        <xdr:cNvPr id="16" name="TextBox 15">
          <a:extLst>
            <a:ext uri="{FF2B5EF4-FFF2-40B4-BE49-F238E27FC236}">
              <a16:creationId xmlns:a16="http://schemas.microsoft.com/office/drawing/2014/main" id="{278935E2-16EB-4E61-8400-BF0316391F9A}"/>
            </a:ext>
          </a:extLst>
        </xdr:cNvPr>
        <xdr:cNvSpPr txBox="1"/>
      </xdr:nvSpPr>
      <xdr:spPr>
        <a:xfrm>
          <a:off x="5670330" y="352862"/>
          <a:ext cx="1237155"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62B623-6F89-4ACE-B898-7D4FC587315F}"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$141</a:t>
          </a:fld>
          <a:endParaRPr lang="en-IN"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8</xdr:col>
      <xdr:colOff>437057</xdr:colOff>
      <xdr:row>3</xdr:row>
      <xdr:rowOff>75762</xdr:rowOff>
    </xdr:from>
    <xdr:to>
      <xdr:col>10</xdr:col>
      <xdr:colOff>327573</xdr:colOff>
      <xdr:row>4</xdr:row>
      <xdr:rowOff>163348</xdr:rowOff>
    </xdr:to>
    <xdr:sp macro="" textlink="">
      <xdr:nvSpPr>
        <xdr:cNvPr id="18" name="TextBox 17">
          <a:extLst>
            <a:ext uri="{FF2B5EF4-FFF2-40B4-BE49-F238E27FC236}">
              <a16:creationId xmlns:a16="http://schemas.microsoft.com/office/drawing/2014/main" id="{7E7A8D10-60A3-4731-AFCC-5ADC232CA4FB}"/>
            </a:ext>
          </a:extLst>
        </xdr:cNvPr>
        <xdr:cNvSpPr txBox="1"/>
      </xdr:nvSpPr>
      <xdr:spPr>
        <a:xfrm>
          <a:off x="5692229" y="666969"/>
          <a:ext cx="1204310"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4</xdr:col>
      <xdr:colOff>151524</xdr:colOff>
      <xdr:row>7</xdr:row>
      <xdr:rowOff>78279</xdr:rowOff>
    </xdr:from>
    <xdr:to>
      <xdr:col>6</xdr:col>
      <xdr:colOff>74886</xdr:colOff>
      <xdr:row>9</xdr:row>
      <xdr:rowOff>45434</xdr:rowOff>
    </xdr:to>
    <xdr:sp macro="" textlink="'Sheets Design'!C7">
      <xdr:nvSpPr>
        <xdr:cNvPr id="19" name="TextBox 18">
          <a:extLst>
            <a:ext uri="{FF2B5EF4-FFF2-40B4-BE49-F238E27FC236}">
              <a16:creationId xmlns:a16="http://schemas.microsoft.com/office/drawing/2014/main" id="{6B6325FA-DA8D-458E-9FFA-17497F71AD99}"/>
            </a:ext>
          </a:extLst>
        </xdr:cNvPr>
        <xdr:cNvSpPr txBox="1"/>
      </xdr:nvSpPr>
      <xdr:spPr>
        <a:xfrm>
          <a:off x="2779110" y="1457762"/>
          <a:ext cx="1237155"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0B23E5-106C-4E3D-91C8-1CBEBF4F04BB}"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8523</a:t>
          </a:fld>
          <a:endParaRPr lang="en-IN"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4</xdr:col>
      <xdr:colOff>195319</xdr:colOff>
      <xdr:row>8</xdr:row>
      <xdr:rowOff>184368</xdr:rowOff>
    </xdr:from>
    <xdr:to>
      <xdr:col>6</xdr:col>
      <xdr:colOff>85836</xdr:colOff>
      <xdr:row>10</xdr:row>
      <xdr:rowOff>74885</xdr:rowOff>
    </xdr:to>
    <xdr:sp macro="" textlink="">
      <xdr:nvSpPr>
        <xdr:cNvPr id="20" name="TextBox 19">
          <a:extLst>
            <a:ext uri="{FF2B5EF4-FFF2-40B4-BE49-F238E27FC236}">
              <a16:creationId xmlns:a16="http://schemas.microsoft.com/office/drawing/2014/main" id="{EECE5093-0005-418B-8967-EC826C0EF06A}"/>
            </a:ext>
          </a:extLst>
        </xdr:cNvPr>
        <xdr:cNvSpPr txBox="1"/>
      </xdr:nvSpPr>
      <xdr:spPr>
        <a:xfrm>
          <a:off x="2822905" y="1760920"/>
          <a:ext cx="1204310"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No Of Items</a:t>
          </a:r>
        </a:p>
      </xdr:txBody>
    </xdr:sp>
    <xdr:clientData/>
  </xdr:twoCellAnchor>
  <xdr:twoCellAnchor>
    <xdr:from>
      <xdr:col>8</xdr:col>
      <xdr:colOff>424355</xdr:colOff>
      <xdr:row>7</xdr:row>
      <xdr:rowOff>99300</xdr:rowOff>
    </xdr:from>
    <xdr:to>
      <xdr:col>10</xdr:col>
      <xdr:colOff>347716</xdr:colOff>
      <xdr:row>9</xdr:row>
      <xdr:rowOff>66455</xdr:rowOff>
    </xdr:to>
    <xdr:sp macro="" textlink="'Sheets Design'!D7">
      <xdr:nvSpPr>
        <xdr:cNvPr id="21" name="TextBox 20">
          <a:extLst>
            <a:ext uri="{FF2B5EF4-FFF2-40B4-BE49-F238E27FC236}">
              <a16:creationId xmlns:a16="http://schemas.microsoft.com/office/drawing/2014/main" id="{A31FC802-3350-4D1E-A20A-99B16C20B0C7}"/>
            </a:ext>
          </a:extLst>
        </xdr:cNvPr>
        <xdr:cNvSpPr txBox="1"/>
      </xdr:nvSpPr>
      <xdr:spPr>
        <a:xfrm>
          <a:off x="5679527" y="1478783"/>
          <a:ext cx="1237155" cy="361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C48BA6-66A6-46D0-BCFA-8DFF2F4EA2F4}" type="TxLink">
            <a:rPr lang="en-US"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marL="0" indent="0" algn="ctr"/>
            <a:t>4.0</a:t>
          </a:fld>
          <a:endParaRPr lang="en-IN" sz="20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8</xdr:col>
      <xdr:colOff>511943</xdr:colOff>
      <xdr:row>9</xdr:row>
      <xdr:rowOff>8321</xdr:rowOff>
    </xdr:from>
    <xdr:to>
      <xdr:col>10</xdr:col>
      <xdr:colOff>402459</xdr:colOff>
      <xdr:row>10</xdr:row>
      <xdr:rowOff>95907</xdr:rowOff>
    </xdr:to>
    <xdr:sp macro="" textlink="">
      <xdr:nvSpPr>
        <xdr:cNvPr id="22" name="TextBox 21">
          <a:extLst>
            <a:ext uri="{FF2B5EF4-FFF2-40B4-BE49-F238E27FC236}">
              <a16:creationId xmlns:a16="http://schemas.microsoft.com/office/drawing/2014/main" id="{19324B43-96F5-40DF-A268-6D79E6EBCFE9}"/>
            </a:ext>
          </a:extLst>
        </xdr:cNvPr>
        <xdr:cNvSpPr txBox="1"/>
      </xdr:nvSpPr>
      <xdr:spPr>
        <a:xfrm>
          <a:off x="5767115" y="1781942"/>
          <a:ext cx="1204310"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AVG RATING</a:t>
          </a:r>
        </a:p>
      </xdr:txBody>
    </xdr:sp>
    <xdr:clientData/>
  </xdr:twoCellAnchor>
  <xdr:twoCellAnchor editAs="oneCell">
    <xdr:from>
      <xdr:col>11</xdr:col>
      <xdr:colOff>602155</xdr:colOff>
      <xdr:row>1</xdr:row>
      <xdr:rowOff>173550</xdr:rowOff>
    </xdr:from>
    <xdr:to>
      <xdr:col>12</xdr:col>
      <xdr:colOff>311525</xdr:colOff>
      <xdr:row>3</xdr:row>
      <xdr:rowOff>4300</xdr:rowOff>
    </xdr:to>
    <xdr:pic>
      <xdr:nvPicPr>
        <xdr:cNvPr id="23" name="Picture 22">
          <a:extLst>
            <a:ext uri="{FF2B5EF4-FFF2-40B4-BE49-F238E27FC236}">
              <a16:creationId xmlns:a16="http://schemas.microsoft.com/office/drawing/2014/main" id="{D45C0D98-B80B-8172-D573-0624461211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8017" y="370619"/>
          <a:ext cx="366267" cy="220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308617</xdr:colOff>
      <xdr:row>7</xdr:row>
      <xdr:rowOff>120431</xdr:rowOff>
    </xdr:from>
    <xdr:to>
      <xdr:col>8</xdr:col>
      <xdr:colOff>21897</xdr:colOff>
      <xdr:row>9</xdr:row>
      <xdr:rowOff>32845</xdr:rowOff>
    </xdr:to>
    <xdr:pic>
      <xdr:nvPicPr>
        <xdr:cNvPr id="24" name="Picture 23">
          <a:extLst>
            <a:ext uri="{FF2B5EF4-FFF2-40B4-BE49-F238E27FC236}">
              <a16:creationId xmlns:a16="http://schemas.microsoft.com/office/drawing/2014/main" id="{1C8DF8CC-1293-0E5E-CE4A-B98E28EE1B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06893" y="1499914"/>
          <a:ext cx="370176" cy="306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394138</xdr:colOff>
      <xdr:row>1</xdr:row>
      <xdr:rowOff>167394</xdr:rowOff>
    </xdr:from>
    <xdr:to>
      <xdr:col>8</xdr:col>
      <xdr:colOff>21897</xdr:colOff>
      <xdr:row>3</xdr:row>
      <xdr:rowOff>76638</xdr:rowOff>
    </xdr:to>
    <xdr:pic>
      <xdr:nvPicPr>
        <xdr:cNvPr id="25" name="Picture 24">
          <a:extLst>
            <a:ext uri="{FF2B5EF4-FFF2-40B4-BE49-F238E27FC236}">
              <a16:creationId xmlns:a16="http://schemas.microsoft.com/office/drawing/2014/main" id="{3B7F8475-B2B1-D433-03AE-E3D5212157F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92414" y="364463"/>
          <a:ext cx="284655" cy="303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10949</xdr:colOff>
      <xdr:row>7</xdr:row>
      <xdr:rowOff>108587</xdr:rowOff>
    </xdr:from>
    <xdr:to>
      <xdr:col>12</xdr:col>
      <xdr:colOff>289735</xdr:colOff>
      <xdr:row>9</xdr:row>
      <xdr:rowOff>32845</xdr:rowOff>
    </xdr:to>
    <xdr:pic>
      <xdr:nvPicPr>
        <xdr:cNvPr id="26" name="Picture 25">
          <a:extLst>
            <a:ext uri="{FF2B5EF4-FFF2-40B4-BE49-F238E27FC236}">
              <a16:creationId xmlns:a16="http://schemas.microsoft.com/office/drawing/2014/main" id="{D749CC32-1B84-D96F-C820-DE73B6226BF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93708" y="1488070"/>
          <a:ext cx="278786" cy="318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261005</xdr:colOff>
      <xdr:row>13</xdr:row>
      <xdr:rowOff>21897</xdr:rowOff>
    </xdr:from>
    <xdr:to>
      <xdr:col>13</xdr:col>
      <xdr:colOff>98535</xdr:colOff>
      <xdr:row>41</xdr:row>
      <xdr:rowOff>10948</xdr:rowOff>
    </xdr:to>
    <xdr:sp macro="" textlink="">
      <xdr:nvSpPr>
        <xdr:cNvPr id="27" name="Rectangle: Rounded Corners 26">
          <a:extLst>
            <a:ext uri="{FF2B5EF4-FFF2-40B4-BE49-F238E27FC236}">
              <a16:creationId xmlns:a16="http://schemas.microsoft.com/office/drawing/2014/main" id="{98A27C19-2F23-4906-8047-DA7B26060E9B}"/>
            </a:ext>
          </a:extLst>
        </xdr:cNvPr>
        <xdr:cNvSpPr/>
      </xdr:nvSpPr>
      <xdr:spPr>
        <a:xfrm>
          <a:off x="2888591" y="2583794"/>
          <a:ext cx="5749599" cy="5528878"/>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337642</xdr:colOff>
      <xdr:row>15</xdr:row>
      <xdr:rowOff>120432</xdr:rowOff>
    </xdr:from>
    <xdr:to>
      <xdr:col>8</xdr:col>
      <xdr:colOff>284655</xdr:colOff>
      <xdr:row>25</xdr:row>
      <xdr:rowOff>186120</xdr:rowOff>
    </xdr:to>
    <xdr:graphicFrame macro="">
      <xdr:nvGraphicFramePr>
        <xdr:cNvPr id="29" name="Chart 28">
          <a:extLst>
            <a:ext uri="{FF2B5EF4-FFF2-40B4-BE49-F238E27FC236}">
              <a16:creationId xmlns:a16="http://schemas.microsoft.com/office/drawing/2014/main" id="{CA162E49-866B-4C09-90AE-F04AA87AD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347719</xdr:colOff>
      <xdr:row>13</xdr:row>
      <xdr:rowOff>128751</xdr:rowOff>
    </xdr:from>
    <xdr:to>
      <xdr:col>6</xdr:col>
      <xdr:colOff>238236</xdr:colOff>
      <xdr:row>14</xdr:row>
      <xdr:rowOff>194441</xdr:rowOff>
    </xdr:to>
    <xdr:sp macro="" textlink="">
      <xdr:nvSpPr>
        <xdr:cNvPr id="31" name="TextBox 30">
          <a:extLst>
            <a:ext uri="{FF2B5EF4-FFF2-40B4-BE49-F238E27FC236}">
              <a16:creationId xmlns:a16="http://schemas.microsoft.com/office/drawing/2014/main" id="{808C7254-D4AE-405A-AEC8-2DD9DCB3DB74}"/>
            </a:ext>
          </a:extLst>
        </xdr:cNvPr>
        <xdr:cNvSpPr txBox="1"/>
      </xdr:nvSpPr>
      <xdr:spPr>
        <a:xfrm>
          <a:off x="2975305" y="2690648"/>
          <a:ext cx="1204310"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FAT</a:t>
          </a:r>
          <a:r>
            <a:rPr lang="en-IN" sz="1100" baseline="0">
              <a:solidFill>
                <a:schemeClr val="dk1"/>
              </a:solidFill>
              <a:latin typeface="Segoe UI Semibold" panose="020B0702040204020203" pitchFamily="34" charset="0"/>
              <a:ea typeface="+mn-ea"/>
              <a:cs typeface="Segoe UI Semibold" panose="020B0702040204020203" pitchFamily="34" charset="0"/>
            </a:rPr>
            <a:t> CONTENT</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448003</xdr:colOff>
      <xdr:row>13</xdr:row>
      <xdr:rowOff>87586</xdr:rowOff>
    </xdr:from>
    <xdr:to>
      <xdr:col>8</xdr:col>
      <xdr:colOff>459828</xdr:colOff>
      <xdr:row>40</xdr:row>
      <xdr:rowOff>87586</xdr:rowOff>
    </xdr:to>
    <xdr:cxnSp macro="">
      <xdr:nvCxnSpPr>
        <xdr:cNvPr id="33" name="Straight Connector 32">
          <a:extLst>
            <a:ext uri="{FF2B5EF4-FFF2-40B4-BE49-F238E27FC236}">
              <a16:creationId xmlns:a16="http://schemas.microsoft.com/office/drawing/2014/main" id="{6CCB680C-8A05-AA31-DB26-A104E9E9CC4F}"/>
            </a:ext>
          </a:extLst>
        </xdr:cNvPr>
        <xdr:cNvCxnSpPr/>
      </xdr:nvCxnSpPr>
      <xdr:spPr>
        <a:xfrm>
          <a:off x="5703175" y="2649483"/>
          <a:ext cx="11825" cy="534275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370265</xdr:colOff>
      <xdr:row>26</xdr:row>
      <xdr:rowOff>21896</xdr:rowOff>
    </xdr:from>
    <xdr:to>
      <xdr:col>8</xdr:col>
      <xdr:colOff>361294</xdr:colOff>
      <xdr:row>26</xdr:row>
      <xdr:rowOff>43142</xdr:rowOff>
    </xdr:to>
    <xdr:cxnSp macro="">
      <xdr:nvCxnSpPr>
        <xdr:cNvPr id="36" name="Straight Connector 35">
          <a:extLst>
            <a:ext uri="{FF2B5EF4-FFF2-40B4-BE49-F238E27FC236}">
              <a16:creationId xmlns:a16="http://schemas.microsoft.com/office/drawing/2014/main" id="{E6E99C60-B622-4367-B9F8-3977063B34F5}"/>
            </a:ext>
          </a:extLst>
        </xdr:cNvPr>
        <xdr:cNvCxnSpPr/>
      </xdr:nvCxnSpPr>
      <xdr:spPr>
        <a:xfrm flipV="1">
          <a:off x="2997851" y="5167586"/>
          <a:ext cx="2618615" cy="2124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448879</xdr:colOff>
      <xdr:row>28</xdr:row>
      <xdr:rowOff>65688</xdr:rowOff>
    </xdr:from>
    <xdr:to>
      <xdr:col>8</xdr:col>
      <xdr:colOff>361294</xdr:colOff>
      <xdr:row>39</xdr:row>
      <xdr:rowOff>10947</xdr:rowOff>
    </xdr:to>
    <xdr:graphicFrame macro="">
      <xdr:nvGraphicFramePr>
        <xdr:cNvPr id="41" name="Chart 40">
          <a:extLst>
            <a:ext uri="{FF2B5EF4-FFF2-40B4-BE49-F238E27FC236}">
              <a16:creationId xmlns:a16="http://schemas.microsoft.com/office/drawing/2014/main" id="{A257E282-C9E3-42F2-99DE-356EEF2F1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357790</xdr:colOff>
      <xdr:row>26</xdr:row>
      <xdr:rowOff>138824</xdr:rowOff>
    </xdr:from>
    <xdr:to>
      <xdr:col>6</xdr:col>
      <xdr:colOff>248307</xdr:colOff>
      <xdr:row>28</xdr:row>
      <xdr:rowOff>29341</xdr:rowOff>
    </xdr:to>
    <xdr:sp macro="" textlink="">
      <xdr:nvSpPr>
        <xdr:cNvPr id="42" name="TextBox 41">
          <a:extLst>
            <a:ext uri="{FF2B5EF4-FFF2-40B4-BE49-F238E27FC236}">
              <a16:creationId xmlns:a16="http://schemas.microsoft.com/office/drawing/2014/main" id="{53DD17A9-F867-4E1F-B5CF-D8B0CE0B82A1}"/>
            </a:ext>
          </a:extLst>
        </xdr:cNvPr>
        <xdr:cNvSpPr txBox="1"/>
      </xdr:nvSpPr>
      <xdr:spPr>
        <a:xfrm>
          <a:off x="2985376" y="5284514"/>
          <a:ext cx="1204310"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FAT</a:t>
          </a:r>
          <a:r>
            <a:rPr lang="en-IN" sz="1100" baseline="0">
              <a:solidFill>
                <a:schemeClr val="dk1"/>
              </a:solidFill>
              <a:latin typeface="Segoe UI Semibold" panose="020B0702040204020203" pitchFamily="34" charset="0"/>
              <a:ea typeface="+mn-ea"/>
              <a:cs typeface="Segoe UI Semibold" panose="020B0702040204020203" pitchFamily="34" charset="0"/>
            </a:rPr>
            <a:t> BY OUTLET</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335895</xdr:colOff>
      <xdr:row>13</xdr:row>
      <xdr:rowOff>95030</xdr:rowOff>
    </xdr:from>
    <xdr:to>
      <xdr:col>10</xdr:col>
      <xdr:colOff>226411</xdr:colOff>
      <xdr:row>14</xdr:row>
      <xdr:rowOff>160720</xdr:rowOff>
    </xdr:to>
    <xdr:sp macro="" textlink="">
      <xdr:nvSpPr>
        <xdr:cNvPr id="43" name="TextBox 42">
          <a:extLst>
            <a:ext uri="{FF2B5EF4-FFF2-40B4-BE49-F238E27FC236}">
              <a16:creationId xmlns:a16="http://schemas.microsoft.com/office/drawing/2014/main" id="{82B7F1D3-85A1-453C-B475-2766CB92E058}"/>
            </a:ext>
          </a:extLst>
        </xdr:cNvPr>
        <xdr:cNvSpPr txBox="1"/>
      </xdr:nvSpPr>
      <xdr:spPr>
        <a:xfrm>
          <a:off x="5591067" y="2656927"/>
          <a:ext cx="1204310" cy="28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ITEM</a:t>
          </a:r>
          <a:r>
            <a:rPr lang="en-IN" sz="1100" baseline="0">
              <a:solidFill>
                <a:schemeClr val="dk1"/>
              </a:solidFill>
              <a:latin typeface="Segoe UI Semibold" panose="020B0702040204020203" pitchFamily="34" charset="0"/>
              <a:ea typeface="+mn-ea"/>
              <a:cs typeface="Segoe UI Semibold" panose="020B0702040204020203" pitchFamily="34" charset="0"/>
            </a:rPr>
            <a:t> TYPE</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503620</xdr:colOff>
      <xdr:row>14</xdr:row>
      <xdr:rowOff>164224</xdr:rowOff>
    </xdr:from>
    <xdr:to>
      <xdr:col>13</xdr:col>
      <xdr:colOff>43793</xdr:colOff>
      <xdr:row>39</xdr:row>
      <xdr:rowOff>153275</xdr:rowOff>
    </xdr:to>
    <xdr:graphicFrame macro="">
      <xdr:nvGraphicFramePr>
        <xdr:cNvPr id="44" name="Chart 43">
          <a:extLst>
            <a:ext uri="{FF2B5EF4-FFF2-40B4-BE49-F238E27FC236}">
              <a16:creationId xmlns:a16="http://schemas.microsoft.com/office/drawing/2014/main" id="{FA642DAD-BD3C-48CB-8CC7-5F85DCFD0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262759</xdr:colOff>
      <xdr:row>1</xdr:row>
      <xdr:rowOff>65690</xdr:rowOff>
    </xdr:from>
    <xdr:to>
      <xdr:col>24</xdr:col>
      <xdr:colOff>57728</xdr:colOff>
      <xdr:row>41</xdr:row>
      <xdr:rowOff>21897</xdr:rowOff>
    </xdr:to>
    <xdr:sp macro="" textlink="">
      <xdr:nvSpPr>
        <xdr:cNvPr id="46" name="Rectangle: Rounded Corners 45">
          <a:extLst>
            <a:ext uri="{FF2B5EF4-FFF2-40B4-BE49-F238E27FC236}">
              <a16:creationId xmlns:a16="http://schemas.microsoft.com/office/drawing/2014/main" id="{C6F67526-F7F8-4903-A4B0-A19C89B78241}"/>
            </a:ext>
          </a:extLst>
        </xdr:cNvPr>
        <xdr:cNvSpPr/>
      </xdr:nvSpPr>
      <xdr:spPr>
        <a:xfrm>
          <a:off x="8892986" y="267735"/>
          <a:ext cx="7097469" cy="8052457"/>
        </a:xfrm>
        <a:prstGeom prst="roundRect">
          <a:avLst>
            <a:gd name="adj"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437931</xdr:colOff>
      <xdr:row>3</xdr:row>
      <xdr:rowOff>65689</xdr:rowOff>
    </xdr:from>
    <xdr:to>
      <xdr:col>23</xdr:col>
      <xdr:colOff>418522</xdr:colOff>
      <xdr:row>13</xdr:row>
      <xdr:rowOff>74999</xdr:rowOff>
    </xdr:to>
    <xdr:graphicFrame macro="">
      <xdr:nvGraphicFramePr>
        <xdr:cNvPr id="47" name="Chart 46">
          <a:extLst>
            <a:ext uri="{FF2B5EF4-FFF2-40B4-BE49-F238E27FC236}">
              <a16:creationId xmlns:a16="http://schemas.microsoft.com/office/drawing/2014/main" id="{AB6C0FF9-60DF-4C5F-B0FC-526203A61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416035</xdr:colOff>
      <xdr:row>1</xdr:row>
      <xdr:rowOff>109483</xdr:rowOff>
    </xdr:from>
    <xdr:to>
      <xdr:col>16</xdr:col>
      <xdr:colOff>251811</xdr:colOff>
      <xdr:row>3</xdr:row>
      <xdr:rowOff>21896</xdr:rowOff>
    </xdr:to>
    <xdr:sp macro="" textlink="">
      <xdr:nvSpPr>
        <xdr:cNvPr id="48" name="TextBox 47">
          <a:extLst>
            <a:ext uri="{FF2B5EF4-FFF2-40B4-BE49-F238E27FC236}">
              <a16:creationId xmlns:a16="http://schemas.microsoft.com/office/drawing/2014/main" id="{057A7446-4A55-4681-BB0C-716A7F98A02B}"/>
            </a:ext>
          </a:extLst>
        </xdr:cNvPr>
        <xdr:cNvSpPr txBox="1"/>
      </xdr:nvSpPr>
      <xdr:spPr>
        <a:xfrm>
          <a:off x="8955690" y="306552"/>
          <a:ext cx="1806466" cy="30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OUTLET</a:t>
          </a:r>
          <a:r>
            <a:rPr lang="en-IN" sz="1100" baseline="0">
              <a:solidFill>
                <a:schemeClr val="dk1"/>
              </a:solidFill>
              <a:latin typeface="Segoe UI Semibold" panose="020B0702040204020203" pitchFamily="34" charset="0"/>
              <a:ea typeface="+mn-ea"/>
              <a:cs typeface="Segoe UI Semibold" panose="020B0702040204020203" pitchFamily="34" charset="0"/>
            </a:rPr>
            <a:t> ESTABLISHMENT</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350345</xdr:colOff>
      <xdr:row>13</xdr:row>
      <xdr:rowOff>173182</xdr:rowOff>
    </xdr:from>
    <xdr:to>
      <xdr:col>23</xdr:col>
      <xdr:colOff>649431</xdr:colOff>
      <xdr:row>14</xdr:row>
      <xdr:rowOff>0</xdr:rowOff>
    </xdr:to>
    <xdr:cxnSp macro="">
      <xdr:nvCxnSpPr>
        <xdr:cNvPr id="17" name="Straight Connector 16">
          <a:extLst>
            <a:ext uri="{FF2B5EF4-FFF2-40B4-BE49-F238E27FC236}">
              <a16:creationId xmlns:a16="http://schemas.microsoft.com/office/drawing/2014/main" id="{60243BD0-4828-4C27-AA19-2C42D4E5C2F3}"/>
            </a:ext>
          </a:extLst>
        </xdr:cNvPr>
        <xdr:cNvCxnSpPr/>
      </xdr:nvCxnSpPr>
      <xdr:spPr>
        <a:xfrm flipV="1">
          <a:off x="8980572" y="2799773"/>
          <a:ext cx="6937723" cy="4329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372243</xdr:colOff>
      <xdr:row>14</xdr:row>
      <xdr:rowOff>76639</xdr:rowOff>
    </xdr:from>
    <xdr:to>
      <xdr:col>15</xdr:col>
      <xdr:colOff>175174</xdr:colOff>
      <xdr:row>15</xdr:row>
      <xdr:rowOff>130505</xdr:rowOff>
    </xdr:to>
    <xdr:sp macro="" textlink="">
      <xdr:nvSpPr>
        <xdr:cNvPr id="37" name="TextBox 36">
          <a:extLst>
            <a:ext uri="{FF2B5EF4-FFF2-40B4-BE49-F238E27FC236}">
              <a16:creationId xmlns:a16="http://schemas.microsoft.com/office/drawing/2014/main" id="{925938C4-94DF-4E5A-B57C-217D7D2BFF44}"/>
            </a:ext>
          </a:extLst>
        </xdr:cNvPr>
        <xdr:cNvSpPr txBox="1"/>
      </xdr:nvSpPr>
      <xdr:spPr>
        <a:xfrm>
          <a:off x="9002470" y="2919707"/>
          <a:ext cx="1130659" cy="255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OUTLET</a:t>
          </a:r>
          <a:r>
            <a:rPr lang="en-IN" sz="1100" baseline="0">
              <a:solidFill>
                <a:schemeClr val="dk1"/>
              </a:solidFill>
              <a:latin typeface="Segoe UI Semibold" panose="020B0702040204020203" pitchFamily="34" charset="0"/>
              <a:ea typeface="+mn-ea"/>
              <a:cs typeface="Segoe UI Semibold" panose="020B0702040204020203" pitchFamily="34" charset="0"/>
            </a:rPr>
            <a:t> SIZE</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279677</xdr:colOff>
      <xdr:row>16</xdr:row>
      <xdr:rowOff>41805</xdr:rowOff>
    </xdr:from>
    <xdr:to>
      <xdr:col>18</xdr:col>
      <xdr:colOff>86590</xdr:colOff>
      <xdr:row>25</xdr:row>
      <xdr:rowOff>134366</xdr:rowOff>
    </xdr:to>
    <xdr:graphicFrame macro="">
      <xdr:nvGraphicFramePr>
        <xdr:cNvPr id="38" name="Chart 37">
          <a:extLst>
            <a:ext uri="{FF2B5EF4-FFF2-40B4-BE49-F238E27FC236}">
              <a16:creationId xmlns:a16="http://schemas.microsoft.com/office/drawing/2014/main" id="{5C92CE79-D77A-481A-A20F-51C2700A3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371365</xdr:colOff>
      <xdr:row>25</xdr:row>
      <xdr:rowOff>173182</xdr:rowOff>
    </xdr:from>
    <xdr:to>
      <xdr:col>24</xdr:col>
      <xdr:colOff>14432</xdr:colOff>
      <xdr:row>25</xdr:row>
      <xdr:rowOff>196193</xdr:rowOff>
    </xdr:to>
    <xdr:cxnSp macro="">
      <xdr:nvCxnSpPr>
        <xdr:cNvPr id="39" name="Straight Connector 38">
          <a:extLst>
            <a:ext uri="{FF2B5EF4-FFF2-40B4-BE49-F238E27FC236}">
              <a16:creationId xmlns:a16="http://schemas.microsoft.com/office/drawing/2014/main" id="{BFD6681C-2EFA-41FD-87F3-0EFF22081549}"/>
            </a:ext>
          </a:extLst>
        </xdr:cNvPr>
        <xdr:cNvCxnSpPr/>
      </xdr:nvCxnSpPr>
      <xdr:spPr>
        <a:xfrm flipV="1">
          <a:off x="9001592" y="5238750"/>
          <a:ext cx="6945567" cy="2301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452861</xdr:colOff>
      <xdr:row>14</xdr:row>
      <xdr:rowOff>44290</xdr:rowOff>
    </xdr:from>
    <xdr:to>
      <xdr:col>18</xdr:col>
      <xdr:colOff>461818</xdr:colOff>
      <xdr:row>25</xdr:row>
      <xdr:rowOff>101023</xdr:rowOff>
    </xdr:to>
    <xdr:cxnSp macro="">
      <xdr:nvCxnSpPr>
        <xdr:cNvPr id="40" name="Straight Connector 39">
          <a:extLst>
            <a:ext uri="{FF2B5EF4-FFF2-40B4-BE49-F238E27FC236}">
              <a16:creationId xmlns:a16="http://schemas.microsoft.com/office/drawing/2014/main" id="{5984CBAD-1B28-42E9-ABA7-961CFE2291EC}"/>
            </a:ext>
          </a:extLst>
        </xdr:cNvPr>
        <xdr:cNvCxnSpPr/>
      </xdr:nvCxnSpPr>
      <xdr:spPr>
        <a:xfrm>
          <a:off x="12402406" y="2887358"/>
          <a:ext cx="8957" cy="227923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28865</xdr:colOff>
      <xdr:row>15</xdr:row>
      <xdr:rowOff>107113</xdr:rowOff>
    </xdr:from>
    <xdr:to>
      <xdr:col>23</xdr:col>
      <xdr:colOff>276196</xdr:colOff>
      <xdr:row>25</xdr:row>
      <xdr:rowOff>91567</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95C34DDB-D485-4B9D-A987-A8AE937F96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42274" y="3152227"/>
              <a:ext cx="2902786" cy="20049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583245</xdr:colOff>
      <xdr:row>14</xdr:row>
      <xdr:rowOff>36827</xdr:rowOff>
    </xdr:from>
    <xdr:to>
      <xdr:col>21</xdr:col>
      <xdr:colOff>90573</xdr:colOff>
      <xdr:row>15</xdr:row>
      <xdr:rowOff>111714</xdr:rowOff>
    </xdr:to>
    <xdr:sp macro="" textlink="">
      <xdr:nvSpPr>
        <xdr:cNvPr id="55" name="TextBox 54">
          <a:extLst>
            <a:ext uri="{FF2B5EF4-FFF2-40B4-BE49-F238E27FC236}">
              <a16:creationId xmlns:a16="http://schemas.microsoft.com/office/drawing/2014/main" id="{98751E14-CEB7-4CEA-BEA1-F8918E208EE6}"/>
            </a:ext>
          </a:extLst>
        </xdr:cNvPr>
        <xdr:cNvSpPr txBox="1"/>
      </xdr:nvSpPr>
      <xdr:spPr>
        <a:xfrm>
          <a:off x="12532790" y="2879895"/>
          <a:ext cx="1498919" cy="276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OUTLET</a:t>
          </a:r>
          <a:r>
            <a:rPr lang="en-IN" sz="1100" baseline="0">
              <a:solidFill>
                <a:schemeClr val="dk1"/>
              </a:solidFill>
              <a:latin typeface="Segoe UI Semibold" panose="020B0702040204020203" pitchFamily="34" charset="0"/>
              <a:ea typeface="+mn-ea"/>
              <a:cs typeface="Segoe UI Semibold" panose="020B0702040204020203" pitchFamily="34" charset="0"/>
            </a:rPr>
            <a:t> LOCATION</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288637</xdr:colOff>
      <xdr:row>27</xdr:row>
      <xdr:rowOff>158749</xdr:rowOff>
    </xdr:from>
    <xdr:to>
      <xdr:col>17</xdr:col>
      <xdr:colOff>101022</xdr:colOff>
      <xdr:row>39</xdr:row>
      <xdr:rowOff>86590</xdr:rowOff>
    </xdr:to>
    <xdr:graphicFrame macro="">
      <xdr:nvGraphicFramePr>
        <xdr:cNvPr id="56" name="Chart 55">
          <a:extLst>
            <a:ext uri="{FF2B5EF4-FFF2-40B4-BE49-F238E27FC236}">
              <a16:creationId xmlns:a16="http://schemas.microsoft.com/office/drawing/2014/main" id="{7AA98317-A3A7-47E7-9CC6-0796FA6D5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172307</xdr:colOff>
      <xdr:row>39</xdr:row>
      <xdr:rowOff>97161</xdr:rowOff>
    </xdr:from>
    <xdr:to>
      <xdr:col>15</xdr:col>
      <xdr:colOff>639102</xdr:colOff>
      <xdr:row>40</xdr:row>
      <xdr:rowOff>151027</xdr:rowOff>
    </xdr:to>
    <xdr:sp macro="" textlink="">
      <xdr:nvSpPr>
        <xdr:cNvPr id="57" name="TextBox 56">
          <a:extLst>
            <a:ext uri="{FF2B5EF4-FFF2-40B4-BE49-F238E27FC236}">
              <a16:creationId xmlns:a16="http://schemas.microsoft.com/office/drawing/2014/main" id="{710A4712-D2CA-4A56-9FE2-B84C25ED1BBB}"/>
            </a:ext>
          </a:extLst>
        </xdr:cNvPr>
        <xdr:cNvSpPr txBox="1"/>
      </xdr:nvSpPr>
      <xdr:spPr>
        <a:xfrm>
          <a:off x="9466398" y="7991366"/>
          <a:ext cx="1130659" cy="25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accent1">
                  <a:lumMod val="75000"/>
                </a:schemeClr>
              </a:solidFill>
              <a:latin typeface="Segoe UI Semibold" panose="020B0702040204020203" pitchFamily="34" charset="0"/>
              <a:ea typeface="+mn-ea"/>
              <a:cs typeface="Segoe UI Semibold" panose="020B0702040204020203" pitchFamily="34" charset="0"/>
            </a:rPr>
            <a:t>Total</a:t>
          </a:r>
          <a:r>
            <a:rPr lang="en-IN" sz="1100" baseline="0">
              <a:solidFill>
                <a:schemeClr val="accent1">
                  <a:lumMod val="75000"/>
                </a:schemeClr>
              </a:solidFill>
              <a:latin typeface="Segoe UI Semibold" panose="020B0702040204020203" pitchFamily="34" charset="0"/>
              <a:ea typeface="+mn-ea"/>
              <a:cs typeface="Segoe UI Semibold" panose="020B0702040204020203" pitchFamily="34" charset="0"/>
            </a:rPr>
            <a:t> Sales</a:t>
          </a:r>
          <a:endParaRPr lang="en-IN" sz="1100">
            <a:solidFill>
              <a:schemeClr val="accent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17</xdr:col>
      <xdr:colOff>417779</xdr:colOff>
      <xdr:row>27</xdr:row>
      <xdr:rowOff>86591</xdr:rowOff>
    </xdr:from>
    <xdr:to>
      <xdr:col>20</xdr:col>
      <xdr:colOff>245341</xdr:colOff>
      <xdr:row>39</xdr:row>
      <xdr:rowOff>57726</xdr:rowOff>
    </xdr:to>
    <xdr:graphicFrame macro="">
      <xdr:nvGraphicFramePr>
        <xdr:cNvPr id="61" name="Chart 60">
          <a:extLst>
            <a:ext uri="{FF2B5EF4-FFF2-40B4-BE49-F238E27FC236}">
              <a16:creationId xmlns:a16="http://schemas.microsoft.com/office/drawing/2014/main" id="{DCBE66D5-A0E2-4C48-BC0E-253EAA503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327077</xdr:colOff>
      <xdr:row>26</xdr:row>
      <xdr:rowOff>105124</xdr:rowOff>
    </xdr:from>
    <xdr:to>
      <xdr:col>15</xdr:col>
      <xdr:colOff>130008</xdr:colOff>
      <xdr:row>27</xdr:row>
      <xdr:rowOff>158990</xdr:rowOff>
    </xdr:to>
    <xdr:sp macro="" textlink="">
      <xdr:nvSpPr>
        <xdr:cNvPr id="62" name="TextBox 61">
          <a:extLst>
            <a:ext uri="{FF2B5EF4-FFF2-40B4-BE49-F238E27FC236}">
              <a16:creationId xmlns:a16="http://schemas.microsoft.com/office/drawing/2014/main" id="{AC9FBD1F-1C1D-4794-B2BB-53C67D6D4D49}"/>
            </a:ext>
          </a:extLst>
        </xdr:cNvPr>
        <xdr:cNvSpPr txBox="1"/>
      </xdr:nvSpPr>
      <xdr:spPr>
        <a:xfrm>
          <a:off x="8957304" y="5372738"/>
          <a:ext cx="1130659" cy="25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dk1"/>
              </a:solidFill>
              <a:latin typeface="Segoe UI Semibold" panose="020B0702040204020203" pitchFamily="34" charset="0"/>
              <a:ea typeface="+mn-ea"/>
              <a:cs typeface="Segoe UI Semibold" panose="020B0702040204020203" pitchFamily="34" charset="0"/>
            </a:rPr>
            <a:t>OUTLET</a:t>
          </a:r>
          <a:r>
            <a:rPr lang="en-IN" sz="1100" baseline="0">
              <a:solidFill>
                <a:schemeClr val="dk1"/>
              </a:solidFill>
              <a:latin typeface="Segoe UI Semibold" panose="020B0702040204020203" pitchFamily="34" charset="0"/>
              <a:ea typeface="+mn-ea"/>
              <a:cs typeface="Segoe UI Semibold" panose="020B0702040204020203" pitchFamily="34" charset="0"/>
            </a:rPr>
            <a:t> TYPE</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17</xdr:col>
      <xdr:colOff>454594</xdr:colOff>
      <xdr:row>39</xdr:row>
      <xdr:rowOff>76379</xdr:rowOff>
    </xdr:from>
    <xdr:to>
      <xdr:col>19</xdr:col>
      <xdr:colOff>257526</xdr:colOff>
      <xdr:row>40</xdr:row>
      <xdr:rowOff>130245</xdr:rowOff>
    </xdr:to>
    <xdr:sp macro="" textlink="">
      <xdr:nvSpPr>
        <xdr:cNvPr id="63" name="TextBox 62">
          <a:extLst>
            <a:ext uri="{FF2B5EF4-FFF2-40B4-BE49-F238E27FC236}">
              <a16:creationId xmlns:a16="http://schemas.microsoft.com/office/drawing/2014/main" id="{363E0A52-0AAC-42DF-B2ED-348D79FD2C2A}"/>
            </a:ext>
          </a:extLst>
        </xdr:cNvPr>
        <xdr:cNvSpPr txBox="1"/>
      </xdr:nvSpPr>
      <xdr:spPr>
        <a:xfrm>
          <a:off x="11740276" y="7970584"/>
          <a:ext cx="1130659" cy="25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aseline="0">
              <a:solidFill>
                <a:schemeClr val="accent1">
                  <a:lumMod val="75000"/>
                </a:schemeClr>
              </a:solidFill>
              <a:latin typeface="Segoe UI Semibold" panose="020B0702040204020203" pitchFamily="34" charset="0"/>
              <a:ea typeface="+mn-ea"/>
              <a:cs typeface="Segoe UI Semibold" panose="020B0702040204020203" pitchFamily="34" charset="0"/>
            </a:rPr>
            <a:t>Avg Sales</a:t>
          </a:r>
          <a:endParaRPr lang="en-IN" sz="1100">
            <a:solidFill>
              <a:schemeClr val="accent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522531</xdr:colOff>
      <xdr:row>27</xdr:row>
      <xdr:rowOff>86591</xdr:rowOff>
    </xdr:from>
    <xdr:to>
      <xdr:col>23</xdr:col>
      <xdr:colOff>606135</xdr:colOff>
      <xdr:row>39</xdr:row>
      <xdr:rowOff>110521</xdr:rowOff>
    </xdr:to>
    <xdr:graphicFrame macro="">
      <xdr:nvGraphicFramePr>
        <xdr:cNvPr id="68" name="Chart 67">
          <a:extLst>
            <a:ext uri="{FF2B5EF4-FFF2-40B4-BE49-F238E27FC236}">
              <a16:creationId xmlns:a16="http://schemas.microsoft.com/office/drawing/2014/main" id="{079634E6-6177-4908-B2B3-BCA417C8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58586</xdr:colOff>
      <xdr:row>39</xdr:row>
      <xdr:rowOff>84462</xdr:rowOff>
    </xdr:from>
    <xdr:to>
      <xdr:col>22</xdr:col>
      <xdr:colOff>525381</xdr:colOff>
      <xdr:row>40</xdr:row>
      <xdr:rowOff>138328</xdr:rowOff>
    </xdr:to>
    <xdr:sp macro="" textlink="">
      <xdr:nvSpPr>
        <xdr:cNvPr id="69" name="TextBox 68">
          <a:extLst>
            <a:ext uri="{FF2B5EF4-FFF2-40B4-BE49-F238E27FC236}">
              <a16:creationId xmlns:a16="http://schemas.microsoft.com/office/drawing/2014/main" id="{2E7315C1-BEB6-4B0F-A4A8-9B56B8DA7423}"/>
            </a:ext>
          </a:extLst>
        </xdr:cNvPr>
        <xdr:cNvSpPr txBox="1"/>
      </xdr:nvSpPr>
      <xdr:spPr>
        <a:xfrm>
          <a:off x="13999722" y="7978667"/>
          <a:ext cx="1130659" cy="25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aseline="0">
              <a:solidFill>
                <a:schemeClr val="accent1">
                  <a:lumMod val="75000"/>
                </a:schemeClr>
              </a:solidFill>
              <a:latin typeface="Segoe UI Semibold" panose="020B0702040204020203" pitchFamily="34" charset="0"/>
              <a:ea typeface="+mn-ea"/>
              <a:cs typeface="Segoe UI Semibold" panose="020B0702040204020203" pitchFamily="34" charset="0"/>
            </a:rPr>
            <a:t>No Of Items</a:t>
          </a:r>
          <a:endParaRPr lang="en-IN" sz="1100">
            <a:solidFill>
              <a:schemeClr val="accent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1</xdr:col>
      <xdr:colOff>272143</xdr:colOff>
      <xdr:row>38</xdr:row>
      <xdr:rowOff>174629</xdr:rowOff>
    </xdr:from>
    <xdr:to>
      <xdr:col>1</xdr:col>
      <xdr:colOff>623661</xdr:colOff>
      <xdr:row>40</xdr:row>
      <xdr:rowOff>140611</xdr:rowOff>
    </xdr:to>
    <xdr:pic>
      <xdr:nvPicPr>
        <xdr:cNvPr id="72" name="Picture 71">
          <a:hlinkClick xmlns:r="http://schemas.openxmlformats.org/officeDocument/2006/relationships" r:id="rId14"/>
          <a:extLst>
            <a:ext uri="{FF2B5EF4-FFF2-40B4-BE49-F238E27FC236}">
              <a16:creationId xmlns:a16="http://schemas.microsoft.com/office/drawing/2014/main" id="{A5A726E8-72A2-DE74-0707-F4C0D33265DC}"/>
            </a:ext>
          </a:extLst>
        </xdr:cNvPr>
        <xdr:cNvPicPr>
          <a:picLocks noChangeAspect="1"/>
        </xdr:cNvPicPr>
      </xdr:nvPicPr>
      <xdr:blipFill>
        <a:blip xmlns:r="http://schemas.openxmlformats.org/officeDocument/2006/relationships" r:embed="rId15">
          <a:alphaModFix/>
        </a:blip>
        <a:stretch>
          <a:fillRect/>
        </a:stretch>
      </xdr:blipFill>
      <xdr:spPr>
        <a:xfrm>
          <a:off x="929822" y="7533825"/>
          <a:ext cx="351518" cy="351518"/>
        </a:xfrm>
        <a:prstGeom prst="rect">
          <a:avLst/>
        </a:prstGeom>
        <a:noFill/>
        <a:ln>
          <a:noFill/>
        </a:ln>
      </xdr:spPr>
    </xdr:pic>
    <xdr:clientData/>
  </xdr:twoCellAnchor>
  <xdr:twoCellAnchor editAs="oneCell">
    <xdr:from>
      <xdr:col>2</xdr:col>
      <xdr:colOff>494388</xdr:colOff>
      <xdr:row>39</xdr:row>
      <xdr:rowOff>0</xdr:rowOff>
    </xdr:from>
    <xdr:to>
      <xdr:col>3</xdr:col>
      <xdr:colOff>154208</xdr:colOff>
      <xdr:row>40</xdr:row>
      <xdr:rowOff>124731</xdr:rowOff>
    </xdr:to>
    <xdr:pic>
      <xdr:nvPicPr>
        <xdr:cNvPr id="73" name="Picture 72">
          <a:hlinkClick xmlns:r="http://schemas.openxmlformats.org/officeDocument/2006/relationships" r:id="rId16"/>
          <a:extLst>
            <a:ext uri="{FF2B5EF4-FFF2-40B4-BE49-F238E27FC236}">
              <a16:creationId xmlns:a16="http://schemas.microsoft.com/office/drawing/2014/main" id="{920DB283-4DDC-85C8-25FE-4E1CE44E6B02}"/>
            </a:ext>
          </a:extLst>
        </xdr:cNvPr>
        <xdr:cNvPicPr>
          <a:picLocks noChangeAspect="1"/>
        </xdr:cNvPicPr>
      </xdr:nvPicPr>
      <xdr:blipFill>
        <a:blip xmlns:r="http://schemas.openxmlformats.org/officeDocument/2006/relationships" r:embed="rId17"/>
        <a:stretch>
          <a:fillRect/>
        </a:stretch>
      </xdr:blipFill>
      <xdr:spPr>
        <a:xfrm>
          <a:off x="1809745" y="7551964"/>
          <a:ext cx="317499" cy="317499"/>
        </a:xfrm>
        <a:prstGeom prst="rect">
          <a:avLst/>
        </a:prstGeom>
      </xdr:spPr>
    </xdr:pic>
    <xdr:clientData/>
  </xdr:twoCellAnchor>
  <xdr:twoCellAnchor>
    <xdr:from>
      <xdr:col>1</xdr:col>
      <xdr:colOff>272143</xdr:colOff>
      <xdr:row>5</xdr:row>
      <xdr:rowOff>136073</xdr:rowOff>
    </xdr:from>
    <xdr:to>
      <xdr:col>3</xdr:col>
      <xdr:colOff>498927</xdr:colOff>
      <xdr:row>7</xdr:row>
      <xdr:rowOff>90715</xdr:rowOff>
    </xdr:to>
    <xdr:sp macro="" textlink="">
      <xdr:nvSpPr>
        <xdr:cNvPr id="74" name="TextBox 73">
          <a:extLst>
            <a:ext uri="{FF2B5EF4-FFF2-40B4-BE49-F238E27FC236}">
              <a16:creationId xmlns:a16="http://schemas.microsoft.com/office/drawing/2014/main" id="{A5E533E0-15C0-C43A-5496-6F9678879C61}"/>
            </a:ext>
          </a:extLst>
        </xdr:cNvPr>
        <xdr:cNvSpPr txBox="1"/>
      </xdr:nvSpPr>
      <xdr:spPr>
        <a:xfrm>
          <a:off x="929822" y="1099912"/>
          <a:ext cx="1542141" cy="340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ptos Display" panose="020B0004020202020204" pitchFamily="34" charset="0"/>
            </a:rPr>
            <a:t>       </a:t>
          </a:r>
          <a:r>
            <a:rPr lang="en-IN" sz="1200" b="1">
              <a:solidFill>
                <a:schemeClr val="accent6">
                  <a:lumMod val="50000"/>
                </a:schemeClr>
              </a:solidFill>
              <a:latin typeface="Aptos Display" panose="020B0004020202020204" pitchFamily="34" charset="0"/>
            </a:rPr>
            <a:t>FILTER</a:t>
          </a:r>
          <a:r>
            <a:rPr lang="en-IN" sz="1200" b="1" baseline="0">
              <a:solidFill>
                <a:schemeClr val="accent6">
                  <a:lumMod val="50000"/>
                </a:schemeClr>
              </a:solidFill>
              <a:latin typeface="Aptos Display" panose="020B0004020202020204" pitchFamily="34" charset="0"/>
            </a:rPr>
            <a:t> PANNEL</a:t>
          </a:r>
          <a:endParaRPr lang="en-IN" sz="1200" b="1">
            <a:solidFill>
              <a:schemeClr val="accent6">
                <a:lumMod val="50000"/>
              </a:schemeClr>
            </a:solidFill>
            <a:latin typeface="Aptos Display" panose="020B0004020202020204" pitchFamily="34" charset="0"/>
          </a:endParaRPr>
        </a:p>
      </xdr:txBody>
    </xdr:sp>
    <xdr:clientData/>
  </xdr:twoCellAnchor>
  <xdr:twoCellAnchor editAs="oneCell">
    <xdr:from>
      <xdr:col>1</xdr:col>
      <xdr:colOff>215445</xdr:colOff>
      <xdr:row>5</xdr:row>
      <xdr:rowOff>134327</xdr:rowOff>
    </xdr:from>
    <xdr:to>
      <xdr:col>1</xdr:col>
      <xdr:colOff>504066</xdr:colOff>
      <xdr:row>7</xdr:row>
      <xdr:rowOff>32722</xdr:rowOff>
    </xdr:to>
    <xdr:pic>
      <xdr:nvPicPr>
        <xdr:cNvPr id="75" name="Picture 74">
          <a:extLst>
            <a:ext uri="{FF2B5EF4-FFF2-40B4-BE49-F238E27FC236}">
              <a16:creationId xmlns:a16="http://schemas.microsoft.com/office/drawing/2014/main" id="{DBD5970B-DE6A-46BF-B47E-47914CF2CE6B}"/>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flipV="1">
          <a:off x="873124" y="1098166"/>
          <a:ext cx="288621" cy="283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61624</xdr:colOff>
      <xdr:row>14</xdr:row>
      <xdr:rowOff>119770</xdr:rowOff>
    </xdr:from>
    <xdr:to>
      <xdr:col>4</xdr:col>
      <xdr:colOff>22679</xdr:colOff>
      <xdr:row>21</xdr:row>
      <xdr:rowOff>22679</xdr:rowOff>
    </xdr:to>
    <mc:AlternateContent xmlns:mc="http://schemas.openxmlformats.org/markup-compatibility/2006">
      <mc:Choice xmlns:a14="http://schemas.microsoft.com/office/drawing/2010/main" Requires="a14">
        <xdr:graphicFrame macro="">
          <xdr:nvGraphicFramePr>
            <xdr:cNvPr id="76" name="Outlet Location Type 1">
              <a:extLst>
                <a:ext uri="{FF2B5EF4-FFF2-40B4-BE49-F238E27FC236}">
                  <a16:creationId xmlns:a16="http://schemas.microsoft.com/office/drawing/2014/main" id="{9EA9BFDE-7A90-4B9F-8DCB-3D24F81D653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723645" y="2970515"/>
              <a:ext cx="1947119" cy="1321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72963</xdr:colOff>
      <xdr:row>21</xdr:row>
      <xdr:rowOff>97090</xdr:rowOff>
    </xdr:from>
    <xdr:to>
      <xdr:col>4</xdr:col>
      <xdr:colOff>34018</xdr:colOff>
      <xdr:row>37</xdr:row>
      <xdr:rowOff>158750</xdr:rowOff>
    </xdr:to>
    <mc:AlternateContent xmlns:mc="http://schemas.openxmlformats.org/markup-compatibility/2006">
      <mc:Choice xmlns:a14="http://schemas.microsoft.com/office/drawing/2010/main" Requires="a14">
        <xdr:graphicFrame macro="">
          <xdr:nvGraphicFramePr>
            <xdr:cNvPr id="77" name="Item Type 1">
              <a:extLst>
                <a:ext uri="{FF2B5EF4-FFF2-40B4-BE49-F238E27FC236}">
                  <a16:creationId xmlns:a16="http://schemas.microsoft.com/office/drawing/2014/main" id="{FCA22A27-7C79-4378-A21D-AC2940E4146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734984" y="4366452"/>
              <a:ext cx="1947119" cy="3304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 adi" refreshedDate="46144.110466435188" createdVersion="8" refreshedVersion="8" minRefreshableVersion="3" recordCount="8523" xr:uid="{59F47E87-17AF-4760-B5DF-F3BB66A972BA}">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94971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B764C3-1A5C-4E76-B2C3-419A20ADB00F}"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21:B12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1" numFmtId="1"/>
  </dataFields>
  <formats count="13">
    <format dxfId="1407">
      <pivotArea type="all" dataOnly="0" outline="0" fieldPosition="0"/>
    </format>
    <format dxfId="1408">
      <pivotArea outline="0" collapsedLevelsAreSubtotals="1" fieldPosition="0"/>
    </format>
    <format dxfId="1409">
      <pivotArea dataOnly="0" labelOnly="1" grandRow="1" outline="0" fieldPosition="0"/>
    </format>
    <format dxfId="1410">
      <pivotArea outline="0" collapsedLevelsAreSubtotals="1" fieldPosition="0"/>
    </format>
    <format dxfId="1411">
      <pivotArea type="all" dataOnly="0" outline="0" fieldPosition="0"/>
    </format>
    <format dxfId="1412">
      <pivotArea outline="0" collapsedLevelsAreSubtotals="1" fieldPosition="0"/>
    </format>
    <format dxfId="1413">
      <pivotArea field="6" type="button" dataOnly="0" labelOnly="1" outline="0"/>
    </format>
    <format dxfId="1406">
      <pivotArea outline="0" collapsedLevelsAreSubtotals="1" fieldPosition="0"/>
    </format>
    <format dxfId="1405">
      <pivotArea type="all" dataOnly="0" outline="0" fieldPosition="0"/>
    </format>
    <format dxfId="1404">
      <pivotArea outline="0" collapsedLevelsAreSubtotals="1" fieldPosition="0"/>
    </format>
    <format dxfId="1403">
      <pivotArea field="8" type="button" dataOnly="0" labelOnly="1" outline="0" axis="axisRow" fieldPosition="0"/>
    </format>
    <format dxfId="1402">
      <pivotArea dataOnly="0" labelOnly="1" fieldPosition="0">
        <references count="1">
          <reference field="8" count="0"/>
        </references>
      </pivotArea>
    </format>
    <format dxfId="1401">
      <pivotArea dataOnly="0" labelOnly="1" outline="0" axis="axisValues" fieldPosition="0"/>
    </format>
  </formats>
  <chartFormats count="2">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E57FAD-595A-4170-9EBB-7B7719FB884C}"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12:B11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8"/>
  </dataFields>
  <formats count="13">
    <format dxfId="1415">
      <pivotArea type="all" dataOnly="0" outline="0" fieldPosition="0"/>
    </format>
    <format dxfId="1416">
      <pivotArea outline="0" collapsedLevelsAreSubtotals="1" fieldPosition="0"/>
    </format>
    <format dxfId="1417">
      <pivotArea dataOnly="0" labelOnly="1" grandRow="1" outline="0" fieldPosition="0"/>
    </format>
    <format dxfId="1418">
      <pivotArea outline="0" collapsedLevelsAreSubtotals="1" fieldPosition="0"/>
    </format>
    <format dxfId="1419">
      <pivotArea type="all" dataOnly="0" outline="0" fieldPosition="0"/>
    </format>
    <format dxfId="1420">
      <pivotArea outline="0" collapsedLevelsAreSubtotals="1" fieldPosition="0"/>
    </format>
    <format dxfId="1421">
      <pivotArea field="6" type="button" dataOnly="0" labelOnly="1" outline="0"/>
    </format>
    <format dxfId="1414">
      <pivotArea outline="0" collapsedLevelsAreSubtotals="1" fieldPosition="0"/>
    </format>
    <format dxfId="1400">
      <pivotArea type="all" dataOnly="0" outline="0" fieldPosition="0"/>
    </format>
    <format dxfId="1399">
      <pivotArea outline="0" collapsedLevelsAreSubtotals="1" fieldPosition="0"/>
    </format>
    <format dxfId="1398">
      <pivotArea field="8" type="button" dataOnly="0" labelOnly="1" outline="0" axis="axisRow" fieldPosition="0"/>
    </format>
    <format dxfId="1397">
      <pivotArea dataOnly="0" labelOnly="1" fieldPosition="0">
        <references count="1">
          <reference field="8" count="0"/>
        </references>
      </pivotArea>
    </format>
    <format dxfId="139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483832-A42E-43FF-BA89-426F37103EB9}"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04:B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9">
    <format dxfId="1422">
      <pivotArea type="all" dataOnly="0" outline="0" fieldPosition="0"/>
    </format>
    <format dxfId="1423">
      <pivotArea outline="0" collapsedLevelsAreSubtotals="1" fieldPosition="0"/>
    </format>
    <format dxfId="1424">
      <pivotArea dataOnly="0" labelOnly="1" grandRow="1" outline="0" fieldPosition="0"/>
    </format>
    <format dxfId="1425">
      <pivotArea outline="0" collapsedLevelsAreSubtotals="1" fieldPosition="0"/>
    </format>
    <format dxfId="1395">
      <pivotArea type="all" dataOnly="0" outline="0" fieldPosition="0"/>
    </format>
    <format dxfId="1394">
      <pivotArea outline="0" collapsedLevelsAreSubtotals="1" fieldPosition="0"/>
    </format>
    <format dxfId="1393">
      <pivotArea field="8" type="button" dataOnly="0" labelOnly="1" outline="0" axis="axisRow" fieldPosition="0"/>
    </format>
    <format dxfId="1392">
      <pivotArea dataOnly="0" labelOnly="1" fieldPosition="0">
        <references count="1">
          <reference field="8" count="0"/>
        </references>
      </pivotArea>
    </format>
    <format dxfId="139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4C113D-970F-4FCE-8521-CE7B9A179C8E}"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93:B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9">
    <format dxfId="1431">
      <pivotArea type="all" dataOnly="0" outline="0" fieldPosition="0"/>
    </format>
    <format dxfId="1432">
      <pivotArea outline="0" collapsedLevelsAreSubtotals="1" fieldPosition="0"/>
    </format>
    <format dxfId="1433">
      <pivotArea dataOnly="0" labelOnly="1" grandRow="1" outline="0" fieldPosition="0"/>
    </format>
    <format dxfId="1434">
      <pivotArea outline="0" collapsedLevelsAreSubtotals="1" fieldPosition="0"/>
    </format>
    <format dxfId="1430">
      <pivotArea type="all" dataOnly="0" outline="0" fieldPosition="0"/>
    </format>
    <format dxfId="1429">
      <pivotArea outline="0" collapsedLevelsAreSubtotals="1" fieldPosition="0"/>
    </format>
    <format dxfId="1428">
      <pivotArea field="6" type="button" dataOnly="0" labelOnly="1" outline="0" axis="axisRow" fieldPosition="0"/>
    </format>
    <format dxfId="1427">
      <pivotArea dataOnly="0" labelOnly="1" fieldPosition="0">
        <references count="1">
          <reference field="6" count="0"/>
        </references>
      </pivotArea>
    </format>
    <format dxfId="142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CB0A29-7EB2-4207-AC39-6EF9139D8F6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81:B8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9">
    <format dxfId="1440">
      <pivotArea type="all" dataOnly="0" outline="0" fieldPosition="0"/>
    </format>
    <format dxfId="1441">
      <pivotArea outline="0" collapsedLevelsAreSubtotals="1" fieldPosition="0"/>
    </format>
    <format dxfId="1442">
      <pivotArea dataOnly="0" labelOnly="1" grandRow="1" outline="0" fieldPosition="0"/>
    </format>
    <format dxfId="1443">
      <pivotArea outline="0" collapsedLevelsAreSubtotals="1" fieldPosition="0"/>
    </format>
    <format dxfId="1439">
      <pivotArea type="all" dataOnly="0" outline="0" fieldPosition="0"/>
    </format>
    <format dxfId="1438">
      <pivotArea outline="0" collapsedLevelsAreSubtotals="1" fieldPosition="0"/>
    </format>
    <format dxfId="1437">
      <pivotArea field="7" type="button" dataOnly="0" labelOnly="1" outline="0" axis="axisRow" fieldPosition="0"/>
    </format>
    <format dxfId="1436">
      <pivotArea dataOnly="0" labelOnly="1" fieldPosition="0">
        <references count="1">
          <reference field="7" count="0"/>
        </references>
      </pivotArea>
    </format>
    <format dxfId="143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066738-0F08-48C0-8EDC-20747BDA694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1446">
      <pivotArea type="all" dataOnly="0" outline="0" fieldPosition="0"/>
    </format>
    <format dxfId="1445">
      <pivotArea outline="0" collapsedLevelsAreSubtotals="1" fieldPosition="0"/>
    </format>
    <format dxfId="144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400C66-6C02-4D32-9389-F29D49A07916}"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3:B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6">
    <format dxfId="1462">
      <pivotArea type="all" dataOnly="0" outline="0" fieldPosition="0"/>
    </format>
    <format dxfId="1461">
      <pivotArea outline="0" collapsedLevelsAreSubtotals="1" fieldPosition="0"/>
    </format>
    <format dxfId="1460">
      <pivotArea dataOnly="0" labelOnly="1" grandRow="1" outline="0" fieldPosition="0"/>
    </format>
    <format dxfId="1459">
      <pivotArea dataOnly="0" labelOnly="1" outline="0" axis="axisValues" fieldPosition="0"/>
    </format>
    <format dxfId="1458">
      <pivotArea outline="0" collapsedLevelsAreSubtotals="1" fieldPosition="0"/>
    </format>
    <format dxfId="1457">
      <pivotArea type="all" dataOnly="0" outline="0" fieldPosition="0"/>
    </format>
    <format dxfId="1456">
      <pivotArea outline="0" collapsedLevelsAreSubtotals="1" fieldPosition="0"/>
    </format>
    <format dxfId="1455">
      <pivotArea type="origin" dataOnly="0" labelOnly="1" outline="0" fieldPosition="0"/>
    </format>
    <format dxfId="1454">
      <pivotArea field="0" type="button" dataOnly="0" labelOnly="1" outline="0"/>
    </format>
    <format dxfId="1453">
      <pivotArea type="topRight" dataOnly="0" labelOnly="1" outline="0" fieldPosition="0"/>
    </format>
    <format dxfId="1452">
      <pivotArea field="6" type="button" dataOnly="0" labelOnly="1" outline="0"/>
    </format>
    <format dxfId="1451">
      <pivotArea type="all" dataOnly="0" outline="0" fieldPosition="0"/>
    </format>
    <format dxfId="1450">
      <pivotArea outline="0" collapsedLevelsAreSubtotals="1" fieldPosition="0"/>
    </format>
    <format dxfId="1449">
      <pivotArea field="4" type="button" dataOnly="0" labelOnly="1" outline="0" axis="axisRow" fieldPosition="0"/>
    </format>
    <format dxfId="1448">
      <pivotArea dataOnly="0" labelOnly="1" fieldPosition="0">
        <references count="1">
          <reference field="4" count="0"/>
        </references>
      </pivotArea>
    </format>
    <format dxfId="144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3E1198-CC08-4357-B0C3-8D57509AD4E2}"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43:B5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6">
    <format dxfId="1478">
      <pivotArea type="all" dataOnly="0" outline="0" fieldPosition="0"/>
    </format>
    <format dxfId="1477">
      <pivotArea outline="0" collapsedLevelsAreSubtotals="1" fieldPosition="0"/>
    </format>
    <format dxfId="1476">
      <pivotArea dataOnly="0" labelOnly="1" grandRow="1" outline="0" fieldPosition="0"/>
    </format>
    <format dxfId="1475">
      <pivotArea dataOnly="0" labelOnly="1" outline="0" axis="axisValues" fieldPosition="0"/>
    </format>
    <format dxfId="1474">
      <pivotArea outline="0" collapsedLevelsAreSubtotals="1" fieldPosition="0"/>
    </format>
    <format dxfId="1473">
      <pivotArea type="all" dataOnly="0" outline="0" fieldPosition="0"/>
    </format>
    <format dxfId="1472">
      <pivotArea outline="0" collapsedLevelsAreSubtotals="1" fieldPosition="0"/>
    </format>
    <format dxfId="1471">
      <pivotArea type="origin" dataOnly="0" labelOnly="1" outline="0" fieldPosition="0"/>
    </format>
    <format dxfId="1470">
      <pivotArea field="0" type="button" dataOnly="0" labelOnly="1" outline="0"/>
    </format>
    <format dxfId="1469">
      <pivotArea type="topRight" dataOnly="0" labelOnly="1" outline="0" fieldPosition="0"/>
    </format>
    <format dxfId="1468">
      <pivotArea field="6" type="button" dataOnly="0" labelOnly="1" outline="0"/>
    </format>
    <format dxfId="1467">
      <pivotArea type="all" dataOnly="0" outline="0" fieldPosition="0"/>
    </format>
    <format dxfId="1466">
      <pivotArea outline="0" collapsedLevelsAreSubtotals="1" fieldPosition="0"/>
    </format>
    <format dxfId="1465">
      <pivotArea field="3" type="button" dataOnly="0" labelOnly="1" outline="0" axis="axisRow" fieldPosition="0"/>
    </format>
    <format dxfId="1464">
      <pivotArea dataOnly="0" labelOnly="1" fieldPosition="0">
        <references count="1">
          <reference field="3" count="0"/>
        </references>
      </pivotArea>
    </format>
    <format dxfId="146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C8F046-AACA-4210-B6AA-DEF1B42C58A0}"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8:C32"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1491">
      <pivotArea type="all" dataOnly="0" outline="0" fieldPosition="0"/>
    </format>
    <format dxfId="1490">
      <pivotArea outline="0" collapsedLevelsAreSubtotals="1" fieldPosition="0"/>
    </format>
    <format dxfId="1489">
      <pivotArea dataOnly="0" labelOnly="1" grandRow="1" outline="0" fieldPosition="0"/>
    </format>
    <format dxfId="1488">
      <pivotArea dataOnly="0" labelOnly="1" outline="0" axis="axisValues" fieldPosition="0"/>
    </format>
    <format dxfId="1487">
      <pivotArea outline="0" collapsedLevelsAreSubtotals="1" fieldPosition="0"/>
    </format>
    <format dxfId="1486">
      <pivotArea type="all" dataOnly="0" outline="0" fieldPosition="0"/>
    </format>
    <format dxfId="1485">
      <pivotArea outline="0" collapsedLevelsAreSubtotals="1" fieldPosition="0"/>
    </format>
    <format dxfId="1484">
      <pivotArea type="origin" dataOnly="0" labelOnly="1" outline="0" fieldPosition="0"/>
    </format>
    <format dxfId="1483">
      <pivotArea field="0" type="button" dataOnly="0" labelOnly="1" outline="0" axis="axisCol" fieldPosition="0"/>
    </format>
    <format dxfId="1482">
      <pivotArea type="topRight" dataOnly="0" labelOnly="1" outline="0" fieldPosition="0"/>
    </format>
    <format dxfId="1481">
      <pivotArea field="6" type="button" dataOnly="0" labelOnly="1" outline="0" axis="axisRow" fieldPosition="0"/>
    </format>
    <format dxfId="1480">
      <pivotArea dataOnly="0" labelOnly="1" fieldPosition="0">
        <references count="1">
          <reference field="6" count="0"/>
        </references>
      </pivotArea>
    </format>
    <format dxfId="1479">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179E0A-F623-4333-97B7-E61B312A5BE3}"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9">
    <format dxfId="98">
      <pivotArea type="all" dataOnly="0" outline="0" fieldPosition="0"/>
    </format>
    <format dxfId="99">
      <pivotArea outline="0" collapsedLevelsAreSubtotals="1" fieldPosition="0"/>
    </format>
    <format dxfId="100">
      <pivotArea dataOnly="0" labelOnly="1" grandRow="1" outline="0" fieldPosition="0"/>
    </format>
    <format dxfId="101">
      <pivotArea outline="0" collapsedLevelsAreSubtotals="1" fieldPosition="0"/>
    </format>
    <format dxfId="102">
      <pivotArea type="all" dataOnly="0" outline="0" fieldPosition="0"/>
    </format>
    <format dxfId="103">
      <pivotArea outline="0" collapsedLevelsAreSubtotals="1" fieldPosition="0"/>
    </format>
    <format dxfId="104">
      <pivotArea field="0" type="button" dataOnly="0" labelOnly="1" outline="0" axis="axisRow" fieldPosition="0"/>
    </format>
    <format dxfId="105">
      <pivotArea dataOnly="0" labelOnly="1" fieldPosition="0">
        <references count="1">
          <reference field="0" count="0"/>
        </references>
      </pivotArea>
    </format>
    <format dxfId="10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4E73983-FD24-4C02-9C9C-0E3E448DB00E}" sourceName="Outlet Size">
  <pivotTables>
    <pivotTable tabId="4" name="PivotTable3"/>
    <pivotTable tabId="4" name="PivotTable4"/>
    <pivotTable tabId="4" name="PivotTable5"/>
    <pivotTable tabId="4" name="PivotTable6"/>
    <pivotTable tabId="4" name="PivotTable7"/>
    <pivotTable tabId="4" name="PivotTable1"/>
    <pivotTable tabId="4" name="PivotTable2"/>
    <pivotTable tabId="4" name="PivotTable8"/>
    <pivotTable tabId="4" name="PivotTable10"/>
    <pivotTable tabId="4" name="PivotTable11"/>
  </pivotTables>
  <data>
    <tabular pivotCacheId="149497159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52D33DA-2015-40EA-BDF9-11AB99ACA110}" sourceName="Outlet Location Type">
  <pivotTables>
    <pivotTable tabId="4" name="PivotTable4"/>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PivotTable8"/>
  </pivotTables>
  <data>
    <tabular pivotCacheId="14949715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6906723-EFD5-4837-8BD4-D4E7CE3E6C7A}" sourceName="Item Type">
  <pivotTables>
    <pivotTable tabId="4" name="PivotTable4"/>
    <pivotTable tabId="4" name="PivotTable1"/>
    <pivotTable tabId="4" name="PivotTable10"/>
    <pivotTable tabId="4" name="PivotTable11"/>
    <pivotTable tabId="4" name="PivotTable5"/>
    <pivotTable tabId="4" name="PivotTable6"/>
    <pivotTable tabId="4" name="PivotTable7"/>
    <pivotTable tabId="4" name="PivotTable8"/>
  </pivotTables>
  <data>
    <tabular pivotCacheId="149497159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2326F39-252F-4179-B742-989C1DEAA1D6}" cache="Slicer_Outlet_Size" caption="Outlet Size" rowHeight="262466"/>
  <slicer name="Outlet Location Type" xr10:uid="{9E55D7F6-44D8-40D1-B27D-A9C2D7590B07}" cache="Slicer_Outlet_Location_Type" caption="Outlet Location Type" rowHeight="262466"/>
  <slicer name="Item Type" xr10:uid="{E20049DF-D0D8-4DBF-9A1D-A4B0EACA2A5B}"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D6DDD27-ED8A-477F-951C-47D123215E7C}" cache="Slicer_Outlet_Size" caption="Outlet Size" style="Blinkit Analysis" rowHeight="262466"/>
  <slicer name="Outlet Location Type 1" xr10:uid="{3F2C73A2-70EF-49A1-B3F1-6C581C5D3B19}" cache="Slicer_Outlet_Location_Type" caption="Outlet Location " style="Blinkit Analysis" rowHeight="262466"/>
  <slicer name="Item Type 1" xr10:uid="{05A56ED8-E71D-463F-9F9B-594D2B4AD9BF}"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996CADC6-9179-45BE-BB41-10FA313C330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557E-CAF5-48F2-8743-7B4755447E79}">
  <sheetPr>
    <tabColor rgb="FFFFFF00"/>
  </sheetPr>
  <dimension ref="A1:I128"/>
  <sheetViews>
    <sheetView zoomScale="76" zoomScaleNormal="100" workbookViewId="0"/>
  </sheetViews>
  <sheetFormatPr defaultRowHeight="15.5" x14ac:dyDescent="0.35"/>
  <cols>
    <col min="1" max="1" width="12.9140625" bestFit="1" customWidth="1"/>
    <col min="2" max="2" width="16.1640625" bestFit="1" customWidth="1"/>
    <col min="3" max="3" width="7.4140625" bestFit="1" customWidth="1"/>
    <col min="4" max="4" width="15.75" bestFit="1" customWidth="1"/>
  </cols>
  <sheetData>
    <row r="1" spans="1:6" ht="16" thickBot="1" x14ac:dyDescent="0.4"/>
    <row r="2" spans="1:6" ht="16" thickBot="1" x14ac:dyDescent="0.4">
      <c r="A2" s="30" t="s">
        <v>1618</v>
      </c>
      <c r="B2" s="31"/>
      <c r="C2" s="31"/>
      <c r="D2" s="32"/>
    </row>
    <row r="3" spans="1:6" ht="16" thickBot="1" x14ac:dyDescent="0.4">
      <c r="A3" s="9" t="s">
        <v>1610</v>
      </c>
      <c r="B3" s="10" t="s">
        <v>1611</v>
      </c>
      <c r="C3" s="10" t="s">
        <v>1613</v>
      </c>
      <c r="D3" s="11" t="s">
        <v>1614</v>
      </c>
    </row>
    <row r="4" spans="1:6" ht="16" thickBot="1" x14ac:dyDescent="0.4">
      <c r="A4" s="44">
        <v>1201681.4928000034</v>
      </c>
      <c r="B4" s="45">
        <v>140.99278338613203</v>
      </c>
      <c r="C4" s="45">
        <v>8523</v>
      </c>
      <c r="D4" s="46">
        <v>3.9658570925731196</v>
      </c>
    </row>
    <row r="5" spans="1:6" x14ac:dyDescent="0.35">
      <c r="A5" s="3"/>
      <c r="D5" s="4"/>
    </row>
    <row r="6" spans="1:6" x14ac:dyDescent="0.35">
      <c r="A6" s="3" t="s">
        <v>1609</v>
      </c>
      <c r="B6" t="s">
        <v>1615</v>
      </c>
      <c r="C6" t="s">
        <v>1617</v>
      </c>
      <c r="D6" s="4" t="s">
        <v>1616</v>
      </c>
    </row>
    <row r="7" spans="1:6" ht="16" thickBot="1" x14ac:dyDescent="0.4">
      <c r="A7" s="13">
        <f>GETPIVOTDATA("Sum of Total Sales",$A$3)</f>
        <v>1201681.4928000034</v>
      </c>
      <c r="B7" s="5">
        <f>GETPIVOTDATA("Average Sales",$A$3)</f>
        <v>140.99278338613203</v>
      </c>
      <c r="C7" s="6">
        <f>GETPIVOTDATA("Number of Items",$A$3)</f>
        <v>8523</v>
      </c>
      <c r="D7" s="7">
        <f>GETPIVOTDATA("Average of Rating",$A$3)</f>
        <v>3.9658570925731196</v>
      </c>
    </row>
    <row r="10" spans="1:6" ht="16" thickBot="1" x14ac:dyDescent="0.4">
      <c r="B10" s="8"/>
    </row>
    <row r="11" spans="1:6" ht="16" thickBot="1" x14ac:dyDescent="0.4">
      <c r="A11" s="33" t="s">
        <v>1620</v>
      </c>
      <c r="B11" s="34"/>
      <c r="C11" s="34"/>
      <c r="D11" s="34"/>
      <c r="E11" s="34"/>
      <c r="F11" s="35"/>
    </row>
    <row r="12" spans="1:6" ht="16" thickBot="1" x14ac:dyDescent="0.4">
      <c r="A12" s="18" t="s">
        <v>1619</v>
      </c>
      <c r="B12" s="20" t="s">
        <v>1610</v>
      </c>
      <c r="F12" s="4"/>
    </row>
    <row r="13" spans="1:6" x14ac:dyDescent="0.35">
      <c r="A13" s="19" t="s">
        <v>17</v>
      </c>
      <c r="B13" s="21">
        <v>776319.68840000057</v>
      </c>
      <c r="F13" s="4"/>
    </row>
    <row r="14" spans="1:6" ht="16" thickBot="1" x14ac:dyDescent="0.4">
      <c r="A14" s="15" t="s">
        <v>10</v>
      </c>
      <c r="B14" s="22">
        <v>425361.8043999995</v>
      </c>
      <c r="F14" s="4"/>
    </row>
    <row r="15" spans="1:6" x14ac:dyDescent="0.35">
      <c r="A15" s="3"/>
      <c r="F15" s="4"/>
    </row>
    <row r="16" spans="1:6" x14ac:dyDescent="0.35">
      <c r="A16" s="3"/>
      <c r="F16" s="4"/>
    </row>
    <row r="17" spans="1:9" x14ac:dyDescent="0.35">
      <c r="A17" s="3"/>
      <c r="F17" s="4"/>
    </row>
    <row r="18" spans="1:9" x14ac:dyDescent="0.35">
      <c r="A18" s="3"/>
      <c r="F18" s="4"/>
    </row>
    <row r="19" spans="1:9" x14ac:dyDescent="0.35">
      <c r="A19" s="3"/>
      <c r="F19" s="4"/>
    </row>
    <row r="20" spans="1:9" x14ac:dyDescent="0.35">
      <c r="A20" s="3"/>
      <c r="F20" s="4"/>
    </row>
    <row r="21" spans="1:9" x14ac:dyDescent="0.35">
      <c r="A21" s="3"/>
      <c r="F21" s="4"/>
    </row>
    <row r="22" spans="1:9" x14ac:dyDescent="0.35">
      <c r="A22" s="3"/>
      <c r="F22" s="4"/>
    </row>
    <row r="23" spans="1:9" x14ac:dyDescent="0.35">
      <c r="A23" s="3"/>
      <c r="F23" s="4"/>
    </row>
    <row r="24" spans="1:9" ht="16" thickBot="1" x14ac:dyDescent="0.4">
      <c r="A24" s="16"/>
      <c r="B24" s="6"/>
      <c r="C24" s="6"/>
      <c r="D24" s="6"/>
      <c r="E24" s="6"/>
      <c r="F24" s="17"/>
    </row>
    <row r="26" spans="1:9" ht="16" thickBot="1" x14ac:dyDescent="0.4"/>
    <row r="27" spans="1:9" ht="16" thickBot="1" x14ac:dyDescent="0.4">
      <c r="A27" s="30" t="s">
        <v>1623</v>
      </c>
      <c r="B27" s="31"/>
      <c r="C27" s="31"/>
      <c r="D27" s="32"/>
      <c r="E27" s="1"/>
      <c r="F27" s="1"/>
      <c r="G27" s="1"/>
      <c r="H27" s="1"/>
      <c r="I27" s="2"/>
    </row>
    <row r="28" spans="1:9" ht="16" thickBot="1" x14ac:dyDescent="0.4">
      <c r="A28" s="18" t="s">
        <v>1610</v>
      </c>
      <c r="B28" s="18" t="s">
        <v>1622</v>
      </c>
      <c r="C28" s="20"/>
      <c r="I28" s="4"/>
    </row>
    <row r="29" spans="1:9" ht="16" thickBot="1" x14ac:dyDescent="0.4">
      <c r="A29" s="18" t="s">
        <v>1619</v>
      </c>
      <c r="B29" s="9" t="s">
        <v>10</v>
      </c>
      <c r="C29" s="11" t="s">
        <v>17</v>
      </c>
      <c r="I29" s="4"/>
    </row>
    <row r="30" spans="1:9" x14ac:dyDescent="0.35">
      <c r="A30" s="19" t="s">
        <v>14</v>
      </c>
      <c r="B30" s="26">
        <v>121349.89940000001</v>
      </c>
      <c r="C30" s="27">
        <v>215047.9126000001</v>
      </c>
      <c r="I30" s="4"/>
    </row>
    <row r="31" spans="1:9" x14ac:dyDescent="0.35">
      <c r="A31" s="14" t="s">
        <v>34</v>
      </c>
      <c r="B31" s="28">
        <v>138685.86819999994</v>
      </c>
      <c r="C31" s="23">
        <v>254464.77940000014</v>
      </c>
      <c r="I31" s="4"/>
    </row>
    <row r="32" spans="1:9" ht="16" thickBot="1" x14ac:dyDescent="0.4">
      <c r="A32" s="15" t="s">
        <v>21</v>
      </c>
      <c r="B32" s="29">
        <v>165326.0368</v>
      </c>
      <c r="C32" s="24">
        <v>306806.99640000012</v>
      </c>
      <c r="I32" s="4"/>
    </row>
    <row r="33" spans="1:9" x14ac:dyDescent="0.35">
      <c r="A33" s="3"/>
      <c r="I33" s="4"/>
    </row>
    <row r="34" spans="1:9" x14ac:dyDescent="0.35">
      <c r="A34" s="3"/>
      <c r="I34" s="4"/>
    </row>
    <row r="35" spans="1:9" x14ac:dyDescent="0.35">
      <c r="A35" s="3"/>
      <c r="I35" s="4"/>
    </row>
    <row r="36" spans="1:9" x14ac:dyDescent="0.35">
      <c r="A36" s="3"/>
      <c r="I36" s="4"/>
    </row>
    <row r="37" spans="1:9" x14ac:dyDescent="0.35">
      <c r="A37" s="3"/>
      <c r="I37" s="4"/>
    </row>
    <row r="38" spans="1:9" ht="16" thickBot="1" x14ac:dyDescent="0.4">
      <c r="A38" s="16"/>
      <c r="B38" s="6"/>
      <c r="C38" s="6"/>
      <c r="D38" s="6"/>
      <c r="E38" s="6"/>
      <c r="F38" s="6"/>
      <c r="G38" s="6"/>
      <c r="H38" s="6"/>
      <c r="I38" s="17"/>
    </row>
    <row r="41" spans="1:9" ht="16" thickBot="1" x14ac:dyDescent="0.4"/>
    <row r="42" spans="1:9" ht="16" thickBot="1" x14ac:dyDescent="0.4">
      <c r="A42" s="30" t="s">
        <v>1621</v>
      </c>
      <c r="B42" s="31"/>
      <c r="C42" s="31"/>
      <c r="D42" s="31"/>
      <c r="E42" s="31"/>
      <c r="F42" s="31"/>
      <c r="G42" s="31"/>
      <c r="H42" s="31"/>
      <c r="I42" s="32"/>
    </row>
    <row r="43" spans="1:9" ht="16" thickBot="1" x14ac:dyDescent="0.4">
      <c r="A43" s="18" t="s">
        <v>1619</v>
      </c>
      <c r="B43" s="20" t="s">
        <v>1610</v>
      </c>
      <c r="I43" s="4"/>
    </row>
    <row r="44" spans="1:9" x14ac:dyDescent="0.35">
      <c r="A44" s="14" t="s">
        <v>153</v>
      </c>
      <c r="B44" s="21">
        <v>9077.869999999999</v>
      </c>
      <c r="I44" s="4"/>
    </row>
    <row r="45" spans="1:9" x14ac:dyDescent="0.35">
      <c r="A45" s="14" t="s">
        <v>74</v>
      </c>
      <c r="B45" s="25">
        <v>15596.696600000001</v>
      </c>
      <c r="I45" s="4"/>
    </row>
    <row r="46" spans="1:9" x14ac:dyDescent="0.35">
      <c r="A46" s="14" t="s">
        <v>159</v>
      </c>
      <c r="B46" s="25">
        <v>21880.027399999992</v>
      </c>
      <c r="I46" s="4"/>
    </row>
    <row r="47" spans="1:9" x14ac:dyDescent="0.35">
      <c r="A47" s="14" t="s">
        <v>64</v>
      </c>
      <c r="B47" s="25">
        <v>22451.891599999999</v>
      </c>
      <c r="I47" s="4"/>
    </row>
    <row r="48" spans="1:9" x14ac:dyDescent="0.35">
      <c r="A48" s="14" t="s">
        <v>61</v>
      </c>
      <c r="B48" s="25">
        <v>29334.680599999996</v>
      </c>
      <c r="I48" s="4"/>
    </row>
    <row r="49" spans="1:9" x14ac:dyDescent="0.35">
      <c r="A49" s="14" t="s">
        <v>57</v>
      </c>
      <c r="B49" s="25">
        <v>35379.119800000015</v>
      </c>
      <c r="I49" s="4"/>
    </row>
    <row r="50" spans="1:9" x14ac:dyDescent="0.35">
      <c r="A50" s="14" t="s">
        <v>32</v>
      </c>
      <c r="B50" s="25">
        <v>58514.166999999987</v>
      </c>
      <c r="I50" s="4"/>
    </row>
    <row r="51" spans="1:9" x14ac:dyDescent="0.35">
      <c r="A51" s="14" t="s">
        <v>54</v>
      </c>
      <c r="B51" s="25">
        <v>59449.863799999992</v>
      </c>
      <c r="I51" s="4"/>
    </row>
    <row r="52" spans="1:9" x14ac:dyDescent="0.35">
      <c r="A52" s="14" t="s">
        <v>19</v>
      </c>
      <c r="B52" s="25">
        <v>68025.838800000012</v>
      </c>
      <c r="I52" s="4"/>
    </row>
    <row r="53" spans="1:9" x14ac:dyDescent="0.35">
      <c r="A53" s="14" t="s">
        <v>95</v>
      </c>
      <c r="B53" s="25">
        <v>81894.736400000009</v>
      </c>
      <c r="I53" s="4"/>
    </row>
    <row r="54" spans="1:9" x14ac:dyDescent="0.35">
      <c r="A54" s="14" t="s">
        <v>28</v>
      </c>
      <c r="B54" s="25">
        <v>90706.728999999992</v>
      </c>
      <c r="I54" s="4"/>
    </row>
    <row r="55" spans="1:9" x14ac:dyDescent="0.35">
      <c r="A55" s="14" t="s">
        <v>67</v>
      </c>
      <c r="B55" s="25">
        <v>101276.46159999995</v>
      </c>
      <c r="I55" s="4"/>
    </row>
    <row r="56" spans="1:9" x14ac:dyDescent="0.35">
      <c r="A56" s="14" t="s">
        <v>24</v>
      </c>
      <c r="B56" s="25">
        <v>118558.88140000009</v>
      </c>
      <c r="I56" s="4"/>
    </row>
    <row r="57" spans="1:9" x14ac:dyDescent="0.35">
      <c r="A57" s="14" t="s">
        <v>42</v>
      </c>
      <c r="B57" s="25">
        <v>135976.52539999998</v>
      </c>
      <c r="I57" s="4"/>
    </row>
    <row r="58" spans="1:9" x14ac:dyDescent="0.35">
      <c r="A58" s="14" t="s">
        <v>48</v>
      </c>
      <c r="B58" s="25">
        <v>175433.92240000021</v>
      </c>
      <c r="I58" s="4"/>
    </row>
    <row r="59" spans="1:9" ht="16" thickBot="1" x14ac:dyDescent="0.4">
      <c r="A59" s="15" t="s">
        <v>12</v>
      </c>
      <c r="B59" s="22">
        <v>178124.08099999995</v>
      </c>
      <c r="C59" s="6"/>
      <c r="D59" s="6"/>
      <c r="E59" s="6"/>
      <c r="F59" s="6"/>
      <c r="G59" s="6"/>
      <c r="H59" s="6"/>
      <c r="I59" s="17"/>
    </row>
    <row r="61" spans="1:9" ht="16" thickBot="1" x14ac:dyDescent="0.4"/>
    <row r="62" spans="1:9" ht="16" thickBot="1" x14ac:dyDescent="0.4">
      <c r="A62" s="30" t="s">
        <v>1624</v>
      </c>
      <c r="B62" s="31"/>
      <c r="C62" s="31"/>
      <c r="D62" s="31"/>
      <c r="E62" s="31"/>
      <c r="F62" s="31"/>
      <c r="G62" s="31"/>
      <c r="H62" s="31"/>
      <c r="I62" s="32"/>
    </row>
    <row r="63" spans="1:9" ht="16" thickBot="1" x14ac:dyDescent="0.4">
      <c r="A63" s="18" t="s">
        <v>1619</v>
      </c>
      <c r="B63" s="20" t="s">
        <v>1610</v>
      </c>
      <c r="I63" s="4"/>
    </row>
    <row r="64" spans="1:9" x14ac:dyDescent="0.35">
      <c r="A64" s="14">
        <v>2011</v>
      </c>
      <c r="B64" s="21">
        <v>78131.566599999976</v>
      </c>
      <c r="I64" s="4"/>
    </row>
    <row r="65" spans="1:9" x14ac:dyDescent="0.35">
      <c r="A65" s="14">
        <v>2012</v>
      </c>
      <c r="B65" s="25">
        <v>130476.85979999998</v>
      </c>
      <c r="I65" s="4"/>
    </row>
    <row r="66" spans="1:9" x14ac:dyDescent="0.35">
      <c r="A66" s="14">
        <v>2014</v>
      </c>
      <c r="B66" s="25">
        <v>131809.01560000007</v>
      </c>
      <c r="I66" s="4"/>
    </row>
    <row r="67" spans="1:9" x14ac:dyDescent="0.35">
      <c r="A67" s="14">
        <v>2015</v>
      </c>
      <c r="B67" s="25">
        <v>130942.78019999999</v>
      </c>
      <c r="I67" s="4"/>
    </row>
    <row r="68" spans="1:9" x14ac:dyDescent="0.35">
      <c r="A68" s="14">
        <v>2016</v>
      </c>
      <c r="B68" s="25">
        <v>132113.36980000007</v>
      </c>
      <c r="I68" s="4"/>
    </row>
    <row r="69" spans="1:9" x14ac:dyDescent="0.35">
      <c r="A69" s="14">
        <v>2017</v>
      </c>
      <c r="B69" s="25">
        <v>133103.90699999989</v>
      </c>
      <c r="I69" s="4"/>
    </row>
    <row r="70" spans="1:9" x14ac:dyDescent="0.35">
      <c r="A70" s="14">
        <v>2018</v>
      </c>
      <c r="B70" s="25">
        <v>204522.25700000025</v>
      </c>
      <c r="I70" s="4"/>
    </row>
    <row r="71" spans="1:9" x14ac:dyDescent="0.35">
      <c r="A71" s="14">
        <v>2020</v>
      </c>
      <c r="B71" s="25">
        <v>129103.96039999987</v>
      </c>
      <c r="I71" s="4"/>
    </row>
    <row r="72" spans="1:9" ht="16" thickBot="1" x14ac:dyDescent="0.4">
      <c r="A72" s="15">
        <v>2022</v>
      </c>
      <c r="B72" s="22">
        <v>131477.77639999994</v>
      </c>
      <c r="I72" s="4"/>
    </row>
    <row r="73" spans="1:9" x14ac:dyDescent="0.35">
      <c r="A73" s="3"/>
      <c r="I73" s="4"/>
    </row>
    <row r="74" spans="1:9" x14ac:dyDescent="0.35">
      <c r="A74" s="3"/>
      <c r="I74" s="4"/>
    </row>
    <row r="75" spans="1:9" x14ac:dyDescent="0.35">
      <c r="A75" s="3"/>
      <c r="I75" s="4"/>
    </row>
    <row r="76" spans="1:9" x14ac:dyDescent="0.35">
      <c r="A76" s="3"/>
      <c r="I76" s="4"/>
    </row>
    <row r="77" spans="1:9" ht="16" thickBot="1" x14ac:dyDescent="0.4">
      <c r="A77" s="16"/>
      <c r="B77" s="6"/>
      <c r="C77" s="6"/>
      <c r="D77" s="6"/>
      <c r="E77" s="6"/>
      <c r="F77" s="6"/>
      <c r="G77" s="6"/>
      <c r="H77" s="6"/>
      <c r="I77" s="17"/>
    </row>
    <row r="78" spans="1:9" ht="16" thickBot="1" x14ac:dyDescent="0.4"/>
    <row r="79" spans="1:9" x14ac:dyDescent="0.35">
      <c r="A79" s="33" t="s">
        <v>1625</v>
      </c>
      <c r="B79" s="34"/>
      <c r="C79" s="34"/>
      <c r="D79" s="35"/>
    </row>
    <row r="80" spans="1:9" ht="16" thickBot="1" x14ac:dyDescent="0.4">
      <c r="A80" s="3"/>
      <c r="B80" s="36"/>
      <c r="C80" s="36"/>
      <c r="D80" s="4"/>
    </row>
    <row r="81" spans="1:9" ht="16" thickBot="1" x14ac:dyDescent="0.4">
      <c r="A81" s="18" t="s">
        <v>1619</v>
      </c>
      <c r="B81" s="20" t="s">
        <v>1610</v>
      </c>
      <c r="C81" s="36"/>
      <c r="D81" s="4"/>
    </row>
    <row r="82" spans="1:9" x14ac:dyDescent="0.35">
      <c r="A82" s="19" t="s">
        <v>30</v>
      </c>
      <c r="B82" s="21">
        <v>248991.58600000024</v>
      </c>
      <c r="C82" s="36"/>
      <c r="D82" s="4"/>
    </row>
    <row r="83" spans="1:9" x14ac:dyDescent="0.35">
      <c r="A83" s="14" t="s">
        <v>15</v>
      </c>
      <c r="B83" s="25">
        <v>507895.7363999993</v>
      </c>
      <c r="C83" s="36"/>
      <c r="D83" s="4"/>
    </row>
    <row r="84" spans="1:9" ht="16" thickBot="1" x14ac:dyDescent="0.4">
      <c r="A84" s="15" t="s">
        <v>26</v>
      </c>
      <c r="B84" s="22">
        <v>444794.17039999936</v>
      </c>
      <c r="C84" s="36"/>
      <c r="D84" s="4"/>
    </row>
    <row r="85" spans="1:9" x14ac:dyDescent="0.35">
      <c r="A85" s="3"/>
      <c r="B85" s="36"/>
      <c r="C85" s="36"/>
      <c r="D85" s="4"/>
    </row>
    <row r="86" spans="1:9" x14ac:dyDescent="0.35">
      <c r="A86" s="3"/>
      <c r="B86" s="36"/>
      <c r="C86" s="36"/>
      <c r="D86" s="4"/>
    </row>
    <row r="87" spans="1:9" x14ac:dyDescent="0.35">
      <c r="A87" s="3"/>
      <c r="B87" s="36"/>
      <c r="C87" s="36"/>
      <c r="D87" s="4"/>
    </row>
    <row r="88" spans="1:9" x14ac:dyDescent="0.35">
      <c r="A88" s="3"/>
      <c r="B88" s="36"/>
      <c r="C88" s="36"/>
      <c r="D88" s="4"/>
    </row>
    <row r="89" spans="1:9" ht="16" thickBot="1" x14ac:dyDescent="0.4">
      <c r="A89" s="16"/>
      <c r="B89" s="6"/>
      <c r="C89" s="6"/>
      <c r="D89" s="17"/>
    </row>
    <row r="91" spans="1:9" ht="16" thickBot="1" x14ac:dyDescent="0.4"/>
    <row r="92" spans="1:9" ht="16" thickBot="1" x14ac:dyDescent="0.4">
      <c r="A92" s="30" t="s">
        <v>1628</v>
      </c>
      <c r="B92" s="31"/>
      <c r="C92" s="1"/>
      <c r="D92" s="1"/>
      <c r="E92" s="1"/>
      <c r="F92" s="1"/>
      <c r="G92" s="1"/>
      <c r="H92" s="1"/>
      <c r="I92" s="2"/>
    </row>
    <row r="93" spans="1:9" ht="16" thickBot="1" x14ac:dyDescent="0.4">
      <c r="A93" s="18" t="s">
        <v>1619</v>
      </c>
      <c r="B93" s="20" t="s">
        <v>1610</v>
      </c>
      <c r="C93" s="36"/>
      <c r="D93" s="36" t="s">
        <v>1626</v>
      </c>
      <c r="E93" s="36" t="s">
        <v>1627</v>
      </c>
      <c r="F93" s="36"/>
      <c r="G93" s="36"/>
      <c r="H93" s="36"/>
      <c r="I93" s="4"/>
    </row>
    <row r="94" spans="1:9" x14ac:dyDescent="0.35">
      <c r="A94" s="19" t="s">
        <v>21</v>
      </c>
      <c r="B94" s="21">
        <v>472133.03319999954</v>
      </c>
      <c r="C94" s="36"/>
      <c r="D94" s="36" t="str">
        <f>A94</f>
        <v>Tier 3</v>
      </c>
      <c r="E94" s="37">
        <f>GETPIVOTDATA("Total Sales",$A$93,"Outlet Location Type",A94)</f>
        <v>472133.03319999954</v>
      </c>
      <c r="F94" s="36"/>
      <c r="G94" s="36"/>
      <c r="H94" s="36"/>
      <c r="I94" s="4"/>
    </row>
    <row r="95" spans="1:9" x14ac:dyDescent="0.35">
      <c r="A95" s="14" t="s">
        <v>34</v>
      </c>
      <c r="B95" s="25">
        <v>393150.64759999956</v>
      </c>
      <c r="C95" s="36"/>
      <c r="D95" s="36" t="str">
        <f t="shared" ref="D95:D96" si="0">A95</f>
        <v>Tier 2</v>
      </c>
      <c r="E95" s="37">
        <f t="shared" ref="E95:E96" si="1">GETPIVOTDATA("Total Sales",$A$93,"Outlet Location Type",A95)</f>
        <v>393150.64759999956</v>
      </c>
      <c r="F95" s="36"/>
      <c r="G95" s="36"/>
      <c r="H95" s="36"/>
      <c r="I95" s="4"/>
    </row>
    <row r="96" spans="1:9" ht="16" thickBot="1" x14ac:dyDescent="0.4">
      <c r="A96" s="15" t="s">
        <v>14</v>
      </c>
      <c r="B96" s="22">
        <v>336397.81199999945</v>
      </c>
      <c r="C96" s="36"/>
      <c r="D96" s="36" t="str">
        <f t="shared" si="0"/>
        <v>Tier 1</v>
      </c>
      <c r="E96" s="37">
        <f t="shared" si="1"/>
        <v>336397.81199999945</v>
      </c>
      <c r="F96" s="36"/>
      <c r="G96" s="36"/>
      <c r="H96" s="36"/>
      <c r="I96" s="4"/>
    </row>
    <row r="97" spans="1:9" x14ac:dyDescent="0.35">
      <c r="A97" s="3"/>
      <c r="B97" s="36"/>
      <c r="C97" s="36"/>
      <c r="D97" s="36"/>
      <c r="E97" s="36"/>
      <c r="F97" s="36"/>
      <c r="G97" s="36"/>
      <c r="H97" s="36"/>
      <c r="I97" s="4"/>
    </row>
    <row r="98" spans="1:9" x14ac:dyDescent="0.35">
      <c r="A98" s="3"/>
      <c r="B98" s="36"/>
      <c r="C98" s="36"/>
      <c r="D98" s="36"/>
      <c r="E98" s="36"/>
      <c r="F98" s="36"/>
      <c r="G98" s="36"/>
      <c r="H98" s="36"/>
      <c r="I98" s="4"/>
    </row>
    <row r="99" spans="1:9" x14ac:dyDescent="0.35">
      <c r="A99" s="3"/>
      <c r="B99" s="36"/>
      <c r="C99" s="36"/>
      <c r="D99" s="36"/>
      <c r="E99" s="36"/>
      <c r="F99" s="36"/>
      <c r="G99" s="36"/>
      <c r="H99" s="36"/>
      <c r="I99" s="4"/>
    </row>
    <row r="100" spans="1:9" ht="16" thickBot="1" x14ac:dyDescent="0.4">
      <c r="A100" s="16"/>
      <c r="B100" s="6"/>
      <c r="C100" s="6"/>
      <c r="D100" s="6"/>
      <c r="E100" s="6"/>
      <c r="F100" s="6"/>
      <c r="G100" s="6"/>
      <c r="H100" s="6"/>
      <c r="I100" s="17"/>
    </row>
    <row r="102" spans="1:9" ht="16" thickBot="1" x14ac:dyDescent="0.4"/>
    <row r="103" spans="1:9" ht="16" thickBot="1" x14ac:dyDescent="0.4">
      <c r="A103" s="33" t="s">
        <v>1631</v>
      </c>
      <c r="B103" s="34"/>
      <c r="C103" s="34"/>
      <c r="D103" s="2"/>
    </row>
    <row r="104" spans="1:9" ht="16" thickBot="1" x14ac:dyDescent="0.4">
      <c r="A104" s="18" t="s">
        <v>1619</v>
      </c>
      <c r="B104" s="20" t="s">
        <v>1610</v>
      </c>
      <c r="C104" s="36"/>
      <c r="D104" s="4"/>
    </row>
    <row r="105" spans="1:9" x14ac:dyDescent="0.35">
      <c r="A105" s="19" t="s">
        <v>40</v>
      </c>
      <c r="B105" s="21">
        <v>151939.149</v>
      </c>
      <c r="C105" s="36"/>
      <c r="D105" s="4"/>
    </row>
    <row r="106" spans="1:9" x14ac:dyDescent="0.35">
      <c r="A106" s="14" t="s">
        <v>46</v>
      </c>
      <c r="B106" s="25">
        <v>130714.67460000006</v>
      </c>
      <c r="C106" s="36"/>
      <c r="D106" s="4"/>
    </row>
    <row r="107" spans="1:9" x14ac:dyDescent="0.35">
      <c r="A107" s="14" t="s">
        <v>22</v>
      </c>
      <c r="B107" s="25">
        <v>131477.77639999994</v>
      </c>
      <c r="C107" s="36"/>
      <c r="D107" s="4"/>
    </row>
    <row r="108" spans="1:9" ht="16" thickBot="1" x14ac:dyDescent="0.4">
      <c r="A108" s="15" t="s">
        <v>16</v>
      </c>
      <c r="B108" s="22">
        <v>787549.89280000131</v>
      </c>
      <c r="C108" s="36"/>
      <c r="D108" s="4"/>
    </row>
    <row r="109" spans="1:9" x14ac:dyDescent="0.35">
      <c r="A109" s="3"/>
      <c r="B109" s="36"/>
      <c r="C109" s="36"/>
      <c r="D109" s="4"/>
    </row>
    <row r="110" spans="1:9" x14ac:dyDescent="0.35">
      <c r="A110" s="3"/>
      <c r="B110" s="36"/>
      <c r="C110" s="36"/>
      <c r="D110" s="4"/>
    </row>
    <row r="111" spans="1:9" ht="16" thickBot="1" x14ac:dyDescent="0.4">
      <c r="A111" s="3"/>
      <c r="B111" s="36"/>
      <c r="C111" s="36"/>
      <c r="D111" s="4"/>
    </row>
    <row r="112" spans="1:9" ht="16" thickBot="1" x14ac:dyDescent="0.4">
      <c r="A112" s="18" t="s">
        <v>1619</v>
      </c>
      <c r="B112" s="20" t="s">
        <v>1629</v>
      </c>
      <c r="C112" s="36"/>
      <c r="D112" s="4"/>
    </row>
    <row r="113" spans="1:4" x14ac:dyDescent="0.35">
      <c r="A113" s="19" t="s">
        <v>40</v>
      </c>
      <c r="B113" s="38">
        <v>140.29468975069253</v>
      </c>
      <c r="C113" s="36"/>
      <c r="D113" s="4"/>
    </row>
    <row r="114" spans="1:4" x14ac:dyDescent="0.35">
      <c r="A114" s="14" t="s">
        <v>46</v>
      </c>
      <c r="B114" s="39">
        <v>139.80179101604284</v>
      </c>
      <c r="C114" s="36"/>
      <c r="D114" s="4"/>
    </row>
    <row r="115" spans="1:4" x14ac:dyDescent="0.35">
      <c r="A115" s="14" t="s">
        <v>22</v>
      </c>
      <c r="B115" s="39">
        <v>141.67863836206891</v>
      </c>
      <c r="C115" s="36"/>
      <c r="D115" s="4"/>
    </row>
    <row r="116" spans="1:4" ht="16" thickBot="1" x14ac:dyDescent="0.4">
      <c r="A116" s="15" t="s">
        <v>16</v>
      </c>
      <c r="B116" s="40">
        <v>141.21389506903375</v>
      </c>
      <c r="C116" s="36"/>
      <c r="D116" s="4"/>
    </row>
    <row r="117" spans="1:4" x14ac:dyDescent="0.35">
      <c r="A117" s="3"/>
      <c r="B117" s="36"/>
      <c r="C117" s="36"/>
      <c r="D117" s="4"/>
    </row>
    <row r="118" spans="1:4" x14ac:dyDescent="0.35">
      <c r="A118" s="3"/>
      <c r="B118" s="36"/>
      <c r="C118" s="36"/>
      <c r="D118" s="4"/>
    </row>
    <row r="119" spans="1:4" x14ac:dyDescent="0.35">
      <c r="A119" s="3"/>
      <c r="B119" s="36"/>
      <c r="C119" s="36"/>
      <c r="D119" s="4"/>
    </row>
    <row r="120" spans="1:4" ht="16" thickBot="1" x14ac:dyDescent="0.4">
      <c r="A120" s="3"/>
      <c r="B120" s="36"/>
      <c r="C120" s="36"/>
      <c r="D120" s="4"/>
    </row>
    <row r="121" spans="1:4" ht="16" thickBot="1" x14ac:dyDescent="0.4">
      <c r="A121" s="18" t="s">
        <v>1619</v>
      </c>
      <c r="B121" s="20" t="s">
        <v>1630</v>
      </c>
      <c r="C121" s="36"/>
      <c r="D121" s="4"/>
    </row>
    <row r="122" spans="1:4" x14ac:dyDescent="0.35">
      <c r="A122" s="19" t="s">
        <v>40</v>
      </c>
      <c r="B122" s="41">
        <v>1083</v>
      </c>
      <c r="C122" s="36"/>
      <c r="D122" s="4"/>
    </row>
    <row r="123" spans="1:4" x14ac:dyDescent="0.35">
      <c r="A123" s="14" t="s">
        <v>46</v>
      </c>
      <c r="B123" s="42">
        <v>935</v>
      </c>
      <c r="C123" s="36"/>
      <c r="D123" s="4"/>
    </row>
    <row r="124" spans="1:4" x14ac:dyDescent="0.35">
      <c r="A124" s="14" t="s">
        <v>22</v>
      </c>
      <c r="B124" s="42">
        <v>928</v>
      </c>
      <c r="C124" s="36"/>
      <c r="D124" s="4"/>
    </row>
    <row r="125" spans="1:4" ht="16" thickBot="1" x14ac:dyDescent="0.4">
      <c r="A125" s="15" t="s">
        <v>16</v>
      </c>
      <c r="B125" s="43">
        <v>5577</v>
      </c>
      <c r="C125" s="36"/>
      <c r="D125" s="4"/>
    </row>
    <row r="126" spans="1:4" x14ac:dyDescent="0.35">
      <c r="A126" s="3"/>
      <c r="B126" s="36"/>
      <c r="C126" s="36"/>
      <c r="D126" s="4"/>
    </row>
    <row r="127" spans="1:4" x14ac:dyDescent="0.35">
      <c r="A127" s="3"/>
      <c r="B127" s="36"/>
      <c r="C127" s="36"/>
      <c r="D127" s="4"/>
    </row>
    <row r="128" spans="1:4" ht="16" thickBot="1" x14ac:dyDescent="0.4">
      <c r="A128" s="16"/>
      <c r="B128" s="6"/>
      <c r="C128" s="6"/>
      <c r="D128" s="17"/>
    </row>
  </sheetData>
  <mergeCells count="9">
    <mergeCell ref="A79:D79"/>
    <mergeCell ref="A92:B92"/>
    <mergeCell ref="A103:C103"/>
    <mergeCell ref="A42:I42"/>
    <mergeCell ref="A62:I62"/>
    <mergeCell ref="A27:D27"/>
    <mergeCell ref="A2:D2"/>
    <mergeCell ref="A11:D11"/>
    <mergeCell ref="E11:F1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0D1F1-84EA-43E1-9C68-49B7F45951B9}">
  <sheetPr>
    <tabColor rgb="FFD0AC2C"/>
  </sheetPr>
  <dimension ref="Q14"/>
  <sheetViews>
    <sheetView showGridLines="0" tabSelected="1" zoomScale="47" zoomScaleNormal="80" workbookViewId="0">
      <selection activeCell="Z20" sqref="Z20"/>
    </sheetView>
  </sheetViews>
  <sheetFormatPr defaultRowHeight="15.5" x14ac:dyDescent="0.35"/>
  <sheetData>
    <row r="14" spans="17:17" ht="17.5" x14ac:dyDescent="0.45">
      <c r="Q1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92D050"/>
  </sheetPr>
  <dimension ref="A1:M8524"/>
  <sheetViews>
    <sheetView topLeftCell="A36" workbookViewId="0"/>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1608</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Aadyasha Majhi</cp:lastModifiedBy>
  <dcterms:created xsi:type="dcterms:W3CDTF">2024-06-23T13:11:17Z</dcterms:created>
  <dcterms:modified xsi:type="dcterms:W3CDTF">2026-05-02T10:38:02Z</dcterms:modified>
</cp:coreProperties>
</file>